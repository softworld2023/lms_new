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 DUPLICATE" sheetId="1" state="visible" r:id="rId2"/>
    <sheet name="19-4-24" sheetId="2" state="visible" r:id="rId3"/>
    <sheet name="22-4-24" sheetId="3" state="visible" r:id="rId4"/>
    <sheet name="24-4-24" sheetId="4" state="visible" r:id="rId5"/>
    <sheet name="26-4-24" sheetId="5" state="visible" r:id="rId6"/>
    <sheet name="27-4-24" sheetId="6" state="visible" r:id="rId7"/>
    <sheet name="29-4-24" sheetId="7" state="visible" r:id="rId8"/>
  </sheets>
  <definedNames>
    <definedName function="false" hidden="true" localSheetId="0" name="_xlnm._FilterDatabase" vbProcedure="false">'FOR DUPLICATE'!$A$1:$A$2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<sst xmlns="http://schemas.openxmlformats.org/spreadsheetml/2006/main" count="1031" uniqueCount="233">
  <si>
    <t xml:space="preserve">q</t>
  </si>
  <si>
    <t xml:space="preserve">CASH IN</t>
  </si>
  <si>
    <t xml:space="preserve">Date :</t>
  </si>
  <si>
    <t xml:space="preserve">locker out money</t>
  </si>
  <si>
    <t xml:space="preserve">TEPI CASH OUT (1) </t>
  </si>
  <si>
    <t xml:space="preserve">Date : _______________</t>
  </si>
  <si>
    <t xml:space="preserve">TEPI CASH OUT (2) </t>
  </si>
  <si>
    <t xml:space="preserve">Time :________________</t>
  </si>
  <si>
    <t xml:space="preserve">locker OUT +</t>
  </si>
  <si>
    <t xml:space="preserve">Agree No.</t>
  </si>
  <si>
    <t xml:space="preserve">ID No.</t>
  </si>
  <si>
    <t xml:space="preserve">LOAN AMOUNT</t>
  </si>
  <si>
    <t xml:space="preserve">AMOUNT</t>
  </si>
  <si>
    <t xml:space="preserve">sd</t>
  </si>
  <si>
    <t xml:space="preserve">Payout</t>
  </si>
  <si>
    <t xml:space="preserve">Month</t>
  </si>
  <si>
    <t xml:space="preserve">staff name</t>
  </si>
  <si>
    <t xml:space="preserve">L:</t>
  </si>
  <si>
    <t xml:space="preserve">RM</t>
  </si>
  <si>
    <t xml:space="preserve">EXPENSES:</t>
  </si>
  <si>
    <t xml:space="preserve">TOTAL</t>
  </si>
  <si>
    <t xml:space="preserve">TOTAL EXP</t>
  </si>
  <si>
    <t xml:space="preserve">TOTAL SUM</t>
  </si>
  <si>
    <t xml:space="preserve">DUIT TONG ONG MARI ONG MARI</t>
  </si>
  <si>
    <t xml:space="preserve">INS CASH OUT (1)</t>
  </si>
  <si>
    <t xml:space="preserve">INS CASH OUT (2)</t>
  </si>
  <si>
    <t xml:space="preserve">2070</t>
  </si>
  <si>
    <t xml:space="preserve">kena isi</t>
  </si>
  <si>
    <t xml:space="preserve">Before date PL</t>
  </si>
  <si>
    <t xml:space="preserve">Balance PL</t>
  </si>
  <si>
    <t xml:space="preserve">" +</t>
  </si>
  <si>
    <t xml:space="preserve">" -</t>
  </si>
  <si>
    <t xml:space="preserve">NAMA</t>
  </si>
  <si>
    <t xml:space="preserve">-</t>
  </si>
  <si>
    <t xml:space="preserve">stamp</t>
  </si>
  <si>
    <t xml:space="preserve">to day</t>
  </si>
  <si>
    <t xml:space="preserve">settle</t>
  </si>
  <si>
    <t xml:space="preserve">total stamp</t>
  </si>
  <si>
    <t xml:space="preserve">total settle</t>
  </si>
  <si>
    <t xml:space="preserve">kang</t>
  </si>
  <si>
    <t xml:space="preserve">kang </t>
  </si>
  <si>
    <t xml:space="preserve">2404-016</t>
  </si>
  <si>
    <t xml:space="preserve">0995</t>
  </si>
  <si>
    <t xml:space="preserve">apr</t>
  </si>
  <si>
    <t xml:space="preserve">tasya</t>
  </si>
  <si>
    <t xml:space="preserve">MJ0139</t>
  </si>
  <si>
    <t xml:space="preserve">0472</t>
  </si>
  <si>
    <t xml:space="preserve">MAY</t>
  </si>
  <si>
    <t xml:space="preserve">SHAA</t>
  </si>
  <si>
    <t xml:space="preserve">0610</t>
  </si>
  <si>
    <t xml:space="preserve">APR</t>
  </si>
  <si>
    <t xml:space="preserve">F</t>
  </si>
  <si>
    <t xml:space="preserve">0582</t>
  </si>
  <si>
    <r>
      <rPr>
        <sz val="14"/>
        <color rgb="FFFF0000"/>
        <rFont val="Calibri"/>
        <family val="0"/>
        <charset val="1"/>
      </rPr>
      <t xml:space="preserve">MJ</t>
    </r>
    <r>
      <rPr>
        <sz val="14"/>
        <color rgb="FF000000"/>
        <rFont val="Calibri"/>
        <family val="0"/>
        <charset val="1"/>
      </rPr>
      <t xml:space="preserve">0105</t>
    </r>
  </si>
  <si>
    <t xml:space="preserve">0707</t>
  </si>
  <si>
    <t xml:space="preserve">0548</t>
  </si>
  <si>
    <t xml:space="preserve">0844</t>
  </si>
  <si>
    <t xml:space="preserve">stam</t>
  </si>
  <si>
    <t xml:space="preserve">MJ0043</t>
  </si>
  <si>
    <t xml:space="preserve">0504</t>
  </si>
  <si>
    <t xml:space="preserve">simpan</t>
  </si>
  <si>
    <t xml:space="preserve">0554</t>
  </si>
  <si>
    <t xml:space="preserve">cop ktl</t>
  </si>
  <si>
    <t xml:space="preserve">0895</t>
  </si>
  <si>
    <t xml:space="preserve">0787</t>
  </si>
  <si>
    <t xml:space="preserve">2405-001</t>
  </si>
  <si>
    <t xml:space="preserve">0108</t>
  </si>
  <si>
    <t xml:space="preserve">0568</t>
  </si>
  <si>
    <t xml:space="preserve">MJ0120</t>
  </si>
  <si>
    <t xml:space="preserve">0384</t>
  </si>
  <si>
    <t xml:space="preserve">0096</t>
  </si>
  <si>
    <t xml:space="preserve">0772</t>
  </si>
  <si>
    <t xml:space="preserve">0759</t>
  </si>
  <si>
    <t xml:space="preserve">R</t>
  </si>
  <si>
    <t xml:space="preserve">0996</t>
  </si>
  <si>
    <r>
      <rPr>
        <sz val="14"/>
        <color rgb="FFFF0000"/>
        <rFont val="Calibri"/>
        <family val="0"/>
        <charset val="1"/>
      </rPr>
      <t xml:space="preserve">MJ</t>
    </r>
    <r>
      <rPr>
        <sz val="14"/>
        <color rgb="FF000000"/>
        <rFont val="Calibri"/>
        <family val="0"/>
        <charset val="1"/>
      </rPr>
      <t xml:space="preserve">0151</t>
    </r>
  </si>
  <si>
    <t xml:space="preserve">0024</t>
  </si>
  <si>
    <t xml:space="preserve">HANI</t>
  </si>
  <si>
    <t xml:space="preserve">hayati</t>
  </si>
  <si>
    <t xml:space="preserve">tl</t>
  </si>
  <si>
    <t xml:space="preserve">0545</t>
  </si>
  <si>
    <t xml:space="preserve">0797</t>
  </si>
  <si>
    <t xml:space="preserve">0280</t>
  </si>
  <si>
    <t xml:space="preserve">0442</t>
  </si>
  <si>
    <t xml:space="preserve">0834</t>
  </si>
  <si>
    <t xml:space="preserve">ahau</t>
  </si>
  <si>
    <t xml:space="preserve">zaini</t>
  </si>
  <si>
    <t xml:space="preserve">zalani</t>
  </si>
  <si>
    <t xml:space="preserve">AHAU</t>
  </si>
  <si>
    <t xml:space="preserve">marzuq</t>
  </si>
  <si>
    <t xml:space="preserve">0595</t>
  </si>
  <si>
    <t xml:space="preserve">f</t>
  </si>
  <si>
    <t xml:space="preserve">0664</t>
  </si>
  <si>
    <t xml:space="preserve">0578</t>
  </si>
  <si>
    <t xml:space="preserve">2404-017</t>
  </si>
  <si>
    <t xml:space="preserve">0114</t>
  </si>
  <si>
    <t xml:space="preserve">shaa</t>
  </si>
  <si>
    <t xml:space="preserve">MJ 0123</t>
  </si>
  <si>
    <t xml:space="preserve">0246</t>
  </si>
  <si>
    <t xml:space="preserve">0594</t>
  </si>
  <si>
    <t xml:space="preserve">MJ0020</t>
  </si>
  <si>
    <t xml:space="preserve">0170</t>
  </si>
  <si>
    <t xml:space="preserve">KANG</t>
  </si>
  <si>
    <t xml:space="preserve">0563</t>
  </si>
  <si>
    <t xml:space="preserve">STAMPPING</t>
  </si>
  <si>
    <t xml:space="preserve">0230</t>
  </si>
  <si>
    <t xml:space="preserve">0173</t>
  </si>
  <si>
    <t xml:space="preserve">AKANG</t>
  </si>
  <si>
    <t xml:space="preserve">DUIT KECIK 0105</t>
  </si>
  <si>
    <t xml:space="preserve">2405-002</t>
  </si>
  <si>
    <t xml:space="preserve">0855</t>
  </si>
  <si>
    <t xml:space="preserve">0312</t>
  </si>
  <si>
    <t xml:space="preserve">may</t>
  </si>
  <si>
    <t xml:space="preserve">0462</t>
  </si>
  <si>
    <t xml:space="preserve">0550</t>
  </si>
  <si>
    <t xml:space="preserve">TASYA</t>
  </si>
  <si>
    <t xml:space="preserve">0222</t>
  </si>
  <si>
    <t xml:space="preserve">hani</t>
  </si>
  <si>
    <t xml:space="preserve">0724</t>
  </si>
  <si>
    <t xml:space="preserve">0997</t>
  </si>
  <si>
    <t xml:space="preserve">MJ0154</t>
  </si>
  <si>
    <t xml:space="preserve">MJ0152</t>
  </si>
  <si>
    <t xml:space="preserve">0713</t>
  </si>
  <si>
    <t xml:space="preserve">0736</t>
  </si>
  <si>
    <r>
      <rPr>
        <sz val="14"/>
        <color rgb="FFFF0000"/>
        <rFont val="Calibri"/>
        <family val="0"/>
        <charset val="1"/>
      </rPr>
      <t xml:space="preserve">MJ</t>
    </r>
    <r>
      <rPr>
        <sz val="14"/>
        <color rgb="FF000000"/>
        <rFont val="Calibri"/>
        <family val="0"/>
        <charset val="1"/>
      </rPr>
      <t xml:space="preserve">0153</t>
    </r>
  </si>
  <si>
    <t xml:space="preserve">0427</t>
  </si>
  <si>
    <t xml:space="preserve">0049</t>
  </si>
  <si>
    <t xml:space="preserve">DEPO L</t>
  </si>
  <si>
    <t xml:space="preserve">TEPI</t>
  </si>
  <si>
    <t xml:space="preserve">0601</t>
  </si>
  <si>
    <t xml:space="preserve">0953</t>
  </si>
  <si>
    <t xml:space="preserve">SHA</t>
  </si>
  <si>
    <t xml:space="preserve">KTL FAZLI</t>
  </si>
  <si>
    <t xml:space="preserve">AZELEE</t>
  </si>
  <si>
    <t xml:space="preserve">2405-007</t>
  </si>
  <si>
    <t xml:space="preserve">0415</t>
  </si>
  <si>
    <t xml:space="preserve">0212</t>
  </si>
  <si>
    <t xml:space="preserve">2405-008</t>
  </si>
  <si>
    <t xml:space="preserve">0250</t>
  </si>
  <si>
    <t xml:space="preserve">2405-003</t>
  </si>
  <si>
    <t xml:space="preserve">0565</t>
  </si>
  <si>
    <t xml:space="preserve">2405-009</t>
  </si>
  <si>
    <t xml:space="preserve">0867</t>
  </si>
  <si>
    <t xml:space="preserve">2405-004</t>
  </si>
  <si>
    <t xml:space="preserve">0796</t>
  </si>
  <si>
    <t xml:space="preserve">0574</t>
  </si>
  <si>
    <t xml:space="preserve">2405-005</t>
  </si>
  <si>
    <t xml:space="preserve">0231</t>
  </si>
  <si>
    <t xml:space="preserve">stampping</t>
  </si>
  <si>
    <t xml:space="preserve">0176</t>
  </si>
  <si>
    <t xml:space="preserve">0466</t>
  </si>
  <si>
    <t xml:space="preserve">2405-006</t>
  </si>
  <si>
    <t xml:space="preserve">0714</t>
  </si>
  <si>
    <t xml:space="preserve">digi</t>
  </si>
  <si>
    <t xml:space="preserve">0139</t>
  </si>
  <si>
    <t xml:space="preserve">0525</t>
  </si>
  <si>
    <t xml:space="preserve">0510</t>
  </si>
  <si>
    <t xml:space="preserve">0739</t>
  </si>
  <si>
    <t xml:space="preserve">0774</t>
  </si>
  <si>
    <t xml:space="preserve">0089</t>
  </si>
  <si>
    <t xml:space="preserve">0957</t>
  </si>
  <si>
    <t xml:space="preserve">0467</t>
  </si>
  <si>
    <t xml:space="preserve">0180</t>
  </si>
  <si>
    <t xml:space="preserve">0404</t>
  </si>
  <si>
    <t xml:space="preserve">0562</t>
  </si>
  <si>
    <t xml:space="preserve">0251</t>
  </si>
  <si>
    <t xml:space="preserve">MJ0115</t>
  </si>
  <si>
    <t xml:space="preserve">0741</t>
  </si>
  <si>
    <t xml:space="preserve">0289</t>
  </si>
  <si>
    <t xml:space="preserve">0259</t>
  </si>
  <si>
    <t xml:space="preserve">mj0020</t>
  </si>
  <si>
    <t xml:space="preserve">MJ0125</t>
  </si>
  <si>
    <t xml:space="preserve">0087</t>
  </si>
  <si>
    <t xml:space="preserve">0627</t>
  </si>
  <si>
    <t xml:space="preserve">0998</t>
  </si>
  <si>
    <t xml:space="preserve">MJ0155</t>
  </si>
  <si>
    <t xml:space="preserve">0213</t>
  </si>
  <si>
    <t xml:space="preserve">MJ 0156 </t>
  </si>
  <si>
    <t xml:space="preserve">0846</t>
  </si>
  <si>
    <t xml:space="preserve">ktl</t>
  </si>
  <si>
    <t xml:space="preserve">r</t>
  </si>
  <si>
    <t xml:space="preserve">0983</t>
  </si>
  <si>
    <t xml:space="preserve">0783</t>
  </si>
  <si>
    <t xml:space="preserve">0524</t>
  </si>
  <si>
    <t xml:space="preserve">siti hajar </t>
  </si>
  <si>
    <t xml:space="preserve">0106</t>
  </si>
  <si>
    <t xml:space="preserve">stamping</t>
  </si>
  <si>
    <t xml:space="preserve">deposit</t>
  </si>
  <si>
    <t xml:space="preserve">0412</t>
  </si>
  <si>
    <t xml:space="preserve">0689</t>
  </si>
  <si>
    <t xml:space="preserve">0977</t>
  </si>
  <si>
    <t xml:space="preserve">0560</t>
  </si>
  <si>
    <t xml:space="preserve">ktl 0138</t>
  </si>
  <si>
    <t xml:space="preserve">ktl 0137</t>
  </si>
  <si>
    <t xml:space="preserve">bank in 0940 maybank</t>
  </si>
  <si>
    <t xml:space="preserve">0103</t>
  </si>
  <si>
    <t xml:space="preserve">0211</t>
  </si>
  <si>
    <t xml:space="preserve">0293</t>
  </si>
  <si>
    <t xml:space="preserve">0363</t>
  </si>
  <si>
    <t xml:space="preserve">0167</t>
  </si>
  <si>
    <t xml:space="preserve">0905</t>
  </si>
  <si>
    <t xml:space="preserve">MJ0128</t>
  </si>
  <si>
    <t xml:space="preserve">0377</t>
  </si>
  <si>
    <t xml:space="preserve">0639</t>
  </si>
  <si>
    <t xml:space="preserve">bill/r</t>
  </si>
  <si>
    <t xml:space="preserve">0276</t>
  </si>
  <si>
    <t xml:space="preserve">ahau 0165</t>
  </si>
  <si>
    <t xml:space="preserve">azeele</t>
  </si>
  <si>
    <t xml:space="preserve">0008-R</t>
  </si>
  <si>
    <t xml:space="preserve">0129</t>
  </si>
  <si>
    <t xml:space="preserve">0621</t>
  </si>
  <si>
    <t xml:space="preserve">0472 TEPI</t>
  </si>
  <si>
    <t xml:space="preserve">0550 TEPI</t>
  </si>
  <si>
    <t xml:space="preserve">depo l </t>
  </si>
  <si>
    <t xml:space="preserve">zuraida 0739</t>
  </si>
  <si>
    <t xml:space="preserve">0525 tepi</t>
  </si>
  <si>
    <t xml:space="preserve">0231 TEPI</t>
  </si>
  <si>
    <t xml:space="preserve">0165 BALANCE</t>
  </si>
  <si>
    <t xml:space="preserve">0165</t>
  </si>
  <si>
    <t xml:space="preserve">0737</t>
  </si>
  <si>
    <t xml:space="preserve">0769</t>
  </si>
  <si>
    <t xml:space="preserve">MJ0123</t>
  </si>
  <si>
    <t xml:space="preserve">2405-010</t>
  </si>
  <si>
    <t xml:space="preserve">0849</t>
  </si>
  <si>
    <t xml:space="preserve">0526</t>
  </si>
  <si>
    <t xml:space="preserve">0538</t>
  </si>
  <si>
    <t xml:space="preserve">0902</t>
  </si>
  <si>
    <t xml:space="preserve">MJ0157</t>
  </si>
  <si>
    <t xml:space="preserve">0246 TEPI </t>
  </si>
  <si>
    <t xml:space="preserve">0189</t>
  </si>
  <si>
    <t xml:space="preserve">0145</t>
  </si>
  <si>
    <t xml:space="preserve">0163</t>
  </si>
  <si>
    <t xml:space="preserve">0434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</si>
</sst>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yy"/>
    <numFmt numFmtId="167" formatCode="General"/>
  </numFmts>
  <fonts count="3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0"/>
      <charset val="1"/>
    </font>
    <font>
      <sz val="12"/>
      <color rgb="FF000000"/>
      <name val="Arial"/>
      <family val="0"/>
      <charset val="1"/>
    </font>
    <font>
      <sz val="12"/>
      <color rgb="FF000000"/>
      <name val="Calibri"/>
      <family val="0"/>
      <charset val="1"/>
    </font>
    <font>
      <b val="true"/>
      <sz val="9"/>
      <color rgb="FFFF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4"/>
      <color rgb="FF000000"/>
      <name val="Times New Roman"/>
      <family val="0"/>
      <charset val="1"/>
    </font>
    <font>
      <sz val="14"/>
      <color rgb="FF000000"/>
      <name val="Arial"/>
      <family val="0"/>
      <charset val="1"/>
    </font>
    <font>
      <sz val="14"/>
      <color rgb="FF000000"/>
      <name val="Calibri"/>
      <family val="0"/>
      <charset val="1"/>
    </font>
    <font>
      <b val="true"/>
      <sz val="12"/>
      <color rgb="FFFF0000"/>
      <name val="Calibri"/>
      <family val="0"/>
      <charset val="1"/>
    </font>
    <font>
      <sz val="12"/>
      <color rgb="FFFF0000"/>
      <name val="Calibri"/>
      <family val="0"/>
      <charset val="1"/>
    </font>
    <font>
      <sz val="12"/>
      <color rgb="FFFF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4"/>
      <color rgb="FF000000"/>
      <name val="Calibri"/>
      <family val="0"/>
      <charset val="1"/>
    </font>
    <font>
      <b val="true"/>
      <sz val="14"/>
      <color rgb="FF0D5ADB"/>
      <name val="Calibri"/>
      <family val="0"/>
      <charset val="1"/>
    </font>
    <font>
      <b val="true"/>
      <sz val="12"/>
      <color rgb="FF000000"/>
      <name val="Arial"/>
      <family val="0"/>
      <charset val="1"/>
    </font>
    <font>
      <b val="true"/>
      <i val="true"/>
      <sz val="12"/>
      <color rgb="FF000000"/>
      <name val="Arial"/>
      <family val="0"/>
      <charset val="1"/>
    </font>
    <font>
      <b val="true"/>
      <sz val="12"/>
      <color rgb="FF000000"/>
      <name val="Calibri"/>
      <family val="0"/>
      <charset val="1"/>
    </font>
    <font>
      <sz val="11"/>
      <color rgb="FF000000"/>
      <name val="Arial"/>
      <family val="0"/>
      <charset val="1"/>
    </font>
    <font>
      <b val="true"/>
      <sz val="24"/>
      <color rgb="FF000000"/>
      <name val="Federo"/>
      <family val="0"/>
      <charset val="1"/>
    </font>
    <font>
      <b val="true"/>
      <sz val="14"/>
      <color rgb="FF000000"/>
      <name val="Arial"/>
      <family val="0"/>
      <charset val="1"/>
    </font>
    <font>
      <sz val="48"/>
      <color rgb="FF000000"/>
      <name val="Arial Rounded"/>
      <family val="0"/>
      <charset val="1"/>
    </font>
    <font>
      <sz val="18"/>
      <color rgb="FF000000"/>
      <name val="Arial"/>
      <family val="0"/>
      <charset val="1"/>
    </font>
    <font>
      <b val="true"/>
      <sz val="18"/>
      <color rgb="FF000000"/>
      <name val="Arial"/>
      <family val="0"/>
      <charset val="1"/>
    </font>
    <font>
      <sz val="16"/>
      <color rgb="FF000000"/>
      <name val="Arial"/>
      <family val="0"/>
      <charset val="1"/>
    </font>
    <font>
      <sz val="14"/>
      <color rgb="FFFF0000"/>
      <name val="Calibri"/>
      <family val="0"/>
      <charset val="1"/>
    </font>
    <font>
      <sz val="14"/>
      <color rgb="FFFF0000"/>
      <name val="Arial"/>
      <family val="0"/>
      <charset val="1"/>
    </font>
    <font>
      <b val="true"/>
      <sz val="14"/>
      <color rgb="FFFF00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33CCCC"/>
      </patternFill>
    </fill>
    <fill>
      <patternFill patternType="solid">
        <fgColor rgb="FFFFC499"/>
        <bgColor rgb="FFC0C0C0"/>
      </patternFill>
    </fill>
    <fill>
      <patternFill patternType="solid">
        <fgColor rgb="FF4285F4"/>
        <bgColor rgb="FF666699"/>
      </patternFill>
    </fill>
    <fill>
      <patternFill patternType="solid">
        <fgColor rgb="FFFF0000"/>
        <bgColor rgb="FF993300"/>
      </patternFill>
    </fill>
  </fills>
  <borders count="31">
    <border diagonalUp="false" diagonalDown="false">
      <left/>
      <right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 style="thick"/>
      <top style="thick"/>
      <bottom style="thin"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n"/>
      <right style="thick"/>
      <top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ck"/>
      <top style="thin"/>
      <bottom style="thin"/>
      <diagonal/>
    </border>
    <border diagonalUp="false" diagonalDown="false">
      <left style="thick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ck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/>
      <right style="thin"/>
      <top style="thin"/>
      <bottom style="thick"/>
      <diagonal/>
    </border>
    <border diagonalUp="false" diagonalDown="false">
      <left/>
      <right style="thick"/>
      <top/>
      <bottom style="thick"/>
      <diagonal/>
    </border>
    <border diagonalUp="false" diagonalDown="false">
      <left style="thick"/>
      <right style="thin"/>
      <top/>
      <bottom style="thick"/>
      <diagonal/>
    </border>
    <border diagonalUp="false" diagonalDown="false">
      <left/>
      <right style="thin"/>
      <top/>
      <bottom style="thick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ck"/>
      <right style="thick"/>
      <top style="thick"/>
      <bottom/>
      <diagonal/>
    </border>
    <border diagonalUp="false" diagonalDown="false">
      <left style="thick"/>
      <right/>
      <top style="thick"/>
      <bottom style="thick"/>
      <diagonal/>
    </border>
    <border diagonalUp="false" diagonalDown="false">
      <left/>
      <right style="thick"/>
      <top style="thick"/>
      <bottom style="thick"/>
      <diagonal/>
    </border>
    <border diagonalUp="false" diagonalDown="false">
      <left style="thick"/>
      <right style="thick"/>
      <top/>
      <bottom style="thick"/>
      <diagonal/>
    </border>
    <border diagonalUp="false" diagonalDown="false">
      <left style="thick"/>
      <right style="thick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5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5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5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5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7" fillId="5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4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4" fillId="5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2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2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1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7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1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1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4" fillId="3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D5AD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499"/>
      <rgbColor rgb="FF4285F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6" activeCellId="0" sqref="S6"/>
    </sheetView>
  </sheetViews>
  <sheetFormatPr defaultColWidth="12.6328125" defaultRowHeight="15" zeroHeight="false" outlineLevelRow="0" outlineLevelCol="0"/>
  <sheetData>
    <row r="1" customFormat="false" ht="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  <c r="J1" s="1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15.75" hidden="true" customHeight="true" outlineLevel="0" collapsed="false">
      <c r="A2" s="3" t="s">
        <v>1</v>
      </c>
      <c r="B2" s="4"/>
      <c r="C2" s="5"/>
      <c r="D2" s="5" t="s">
        <v>2</v>
      </c>
      <c r="E2" s="6"/>
      <c r="F2" s="7" t="s">
        <v>3</v>
      </c>
      <c r="G2" s="8"/>
      <c r="H2" s="9" t="s">
        <v>4</v>
      </c>
      <c r="I2" s="9"/>
      <c r="J2" s="9"/>
      <c r="K2" s="10"/>
      <c r="L2" s="11" t="s">
        <v>5</v>
      </c>
      <c r="M2" s="11"/>
      <c r="N2" s="11"/>
      <c r="O2" s="11"/>
      <c r="P2" s="12"/>
      <c r="Q2" s="13" t="s">
        <v>6</v>
      </c>
      <c r="R2" s="13"/>
      <c r="S2" s="13"/>
      <c r="T2" s="14"/>
      <c r="U2" s="15" t="s">
        <v>5</v>
      </c>
      <c r="V2" s="15"/>
      <c r="W2" s="15"/>
      <c r="X2" s="15"/>
    </row>
    <row r="3" customFormat="false" ht="15.75" hidden="false" customHeight="true" outlineLevel="0" collapsed="false">
      <c r="A3" s="16"/>
      <c r="B3" s="17"/>
      <c r="C3" s="18"/>
      <c r="D3" s="19" t="s">
        <v>7</v>
      </c>
      <c r="E3" s="19"/>
      <c r="F3" s="7"/>
      <c r="G3" s="8"/>
      <c r="H3" s="20"/>
      <c r="I3" s="21"/>
      <c r="J3" s="22"/>
      <c r="K3" s="23"/>
      <c r="L3" s="12"/>
      <c r="M3" s="24"/>
      <c r="N3" s="24"/>
      <c r="O3" s="25"/>
      <c r="P3" s="12"/>
      <c r="Q3" s="20"/>
      <c r="R3" s="22"/>
      <c r="S3" s="22"/>
      <c r="T3" s="12"/>
      <c r="U3" s="12"/>
      <c r="V3" s="24"/>
      <c r="W3" s="24"/>
      <c r="X3" s="25"/>
    </row>
    <row r="4" customFormat="false" ht="15.75" hidden="false" customHeight="true" outlineLevel="0" collapsed="false">
      <c r="A4" s="26" t="s">
        <v>8</v>
      </c>
      <c r="B4" s="27"/>
      <c r="C4" s="28"/>
      <c r="D4" s="28"/>
      <c r="E4" s="29" t="n">
        <v>2000</v>
      </c>
      <c r="F4" s="30" t="n">
        <f aca="false">SUM(B4:E4)</f>
        <v>2000</v>
      </c>
      <c r="G4" s="8"/>
      <c r="H4" s="31" t="s">
        <v>9</v>
      </c>
      <c r="I4" s="32" t="s">
        <v>10</v>
      </c>
      <c r="J4" s="33" t="s">
        <v>11</v>
      </c>
      <c r="K4" s="32" t="s">
        <v>12</v>
      </c>
      <c r="L4" s="34" t="s">
        <v>13</v>
      </c>
      <c r="M4" s="34" t="s">
        <v>14</v>
      </c>
      <c r="N4" s="34" t="s">
        <v>15</v>
      </c>
      <c r="O4" s="35" t="s">
        <v>16</v>
      </c>
      <c r="P4" s="12"/>
      <c r="Q4" s="31" t="s">
        <v>9</v>
      </c>
      <c r="R4" s="32" t="s">
        <v>10</v>
      </c>
      <c r="S4" s="33" t="s">
        <v>11</v>
      </c>
      <c r="T4" s="32" t="s">
        <v>12</v>
      </c>
      <c r="U4" s="34" t="s">
        <v>13</v>
      </c>
      <c r="V4" s="34" t="s">
        <v>14</v>
      </c>
      <c r="W4" s="34" t="s">
        <v>15</v>
      </c>
      <c r="X4" s="35" t="s">
        <v>16</v>
      </c>
    </row>
    <row r="5" customFormat="false" ht="15.75" hidden="false" customHeight="true" outlineLevel="0" collapsed="false">
      <c r="A5" s="36"/>
      <c r="B5" s="37"/>
      <c r="C5" s="38"/>
      <c r="D5" s="39"/>
      <c r="E5" s="37" t="n">
        <v>1628</v>
      </c>
      <c r="F5" s="40" t="n">
        <v>1065</v>
      </c>
      <c r="G5" s="8"/>
      <c r="H5" s="41"/>
      <c r="I5" s="42"/>
      <c r="J5" s="43"/>
      <c r="K5" s="44" t="n">
        <f aca="false">SUM(J5*90/100)</f>
        <v>0</v>
      </c>
      <c r="L5" s="45"/>
      <c r="M5" s="44" t="n">
        <f aca="false">K5-L5</f>
        <v>0</v>
      </c>
      <c r="N5" s="46"/>
      <c r="O5" s="47"/>
      <c r="P5" s="12"/>
      <c r="Q5" s="41"/>
      <c r="R5" s="42"/>
      <c r="S5" s="43" t="n">
        <v>1000</v>
      </c>
      <c r="T5" s="48" t="n">
        <f aca="false">SUM(S5*90/100)</f>
        <v>900</v>
      </c>
      <c r="U5" s="45" t="n">
        <v>50</v>
      </c>
      <c r="V5" s="48" t="n">
        <f aca="false">T5-U5</f>
        <v>850</v>
      </c>
      <c r="W5" s="46"/>
      <c r="X5" s="47"/>
    </row>
    <row r="6" customFormat="false" ht="15.75" hidden="false" customHeight="true" outlineLevel="0" collapsed="false">
      <c r="A6" s="49"/>
      <c r="B6" s="50"/>
      <c r="C6" s="51"/>
      <c r="D6" s="51"/>
      <c r="E6" s="50"/>
      <c r="F6" s="52"/>
      <c r="G6" s="8"/>
      <c r="H6" s="41"/>
      <c r="I6" s="42"/>
      <c r="J6" s="43"/>
      <c r="K6" s="44" t="n">
        <f aca="false">SUM(J6*90/100)</f>
        <v>0</v>
      </c>
      <c r="L6" s="45"/>
      <c r="M6" s="44" t="n">
        <f aca="false">K6-L6</f>
        <v>0</v>
      </c>
      <c r="N6" s="46"/>
      <c r="O6" s="47"/>
      <c r="P6" s="12"/>
      <c r="Q6" s="41"/>
      <c r="R6" s="42"/>
      <c r="S6" s="43" t="n">
        <v>400</v>
      </c>
      <c r="T6" s="48" t="n">
        <f aca="false">SUM(S6*90/100)</f>
        <v>360</v>
      </c>
      <c r="U6" s="45" t="n">
        <v>5</v>
      </c>
      <c r="V6" s="48" t="n">
        <f aca="false">T6-U6</f>
        <v>355</v>
      </c>
      <c r="W6" s="46"/>
      <c r="X6" s="47"/>
    </row>
    <row r="7" customFormat="false" ht="15.75" hidden="false" customHeight="true" outlineLevel="0" collapsed="false">
      <c r="A7" s="53" t="s">
        <v>17</v>
      </c>
      <c r="B7" s="54" t="n">
        <v>4200.3</v>
      </c>
      <c r="C7" s="55" t="n">
        <v>100</v>
      </c>
      <c r="D7" s="56" t="s">
        <v>18</v>
      </c>
      <c r="E7" s="57"/>
      <c r="F7" s="58" t="n">
        <f aca="false">SUM(A5:F6)</f>
        <v>2693</v>
      </c>
      <c r="G7" s="8"/>
      <c r="H7" s="41"/>
      <c r="I7" s="42"/>
      <c r="J7" s="43"/>
      <c r="K7" s="44" t="n">
        <f aca="false">SUM(J7*90/100)</f>
        <v>0</v>
      </c>
      <c r="L7" s="45"/>
      <c r="M7" s="44" t="n">
        <f aca="false">K7-L7</f>
        <v>0</v>
      </c>
      <c r="N7" s="46"/>
      <c r="O7" s="47"/>
      <c r="P7" s="12"/>
      <c r="Q7" s="41"/>
      <c r="R7" s="42"/>
      <c r="S7" s="43"/>
      <c r="T7" s="48" t="n">
        <f aca="false">SUM(S7*90/100)</f>
        <v>0</v>
      </c>
      <c r="U7" s="45"/>
      <c r="V7" s="48" t="n">
        <f aca="false">T7-U7</f>
        <v>0</v>
      </c>
      <c r="W7" s="46"/>
      <c r="X7" s="47"/>
    </row>
    <row r="8" customFormat="false" ht="15.75" hidden="false" customHeight="true" outlineLevel="0" collapsed="false">
      <c r="A8" s="16" t="s">
        <v>19</v>
      </c>
      <c r="B8" s="57"/>
      <c r="C8" s="55" t="n">
        <v>50</v>
      </c>
      <c r="D8" s="56" t="s">
        <v>18</v>
      </c>
      <c r="E8" s="37" t="n">
        <v>16800</v>
      </c>
      <c r="F8" s="40"/>
      <c r="G8" s="8"/>
      <c r="H8" s="41"/>
      <c r="I8" s="42"/>
      <c r="J8" s="43"/>
      <c r="K8" s="44" t="n">
        <f aca="false">SUM(J8*90/100)</f>
        <v>0</v>
      </c>
      <c r="L8" s="45"/>
      <c r="M8" s="44" t="n">
        <f aca="false">K8-L8</f>
        <v>0</v>
      </c>
      <c r="N8" s="46"/>
      <c r="O8" s="47"/>
      <c r="P8" s="12"/>
      <c r="Q8" s="41"/>
      <c r="R8" s="42"/>
      <c r="S8" s="43"/>
      <c r="T8" s="48" t="n">
        <f aca="false">SUM(S8*90/100)</f>
        <v>0</v>
      </c>
      <c r="U8" s="45"/>
      <c r="V8" s="48" t="n">
        <f aca="false">T8-U8</f>
        <v>0</v>
      </c>
      <c r="W8" s="46"/>
      <c r="X8" s="47"/>
    </row>
    <row r="9" customFormat="false" ht="15.75" hidden="false" customHeight="true" outlineLevel="0" collapsed="false">
      <c r="A9" s="59"/>
      <c r="B9" s="57"/>
      <c r="C9" s="55" t="n">
        <v>10</v>
      </c>
      <c r="D9" s="56" t="s">
        <v>18</v>
      </c>
      <c r="E9" s="50" t="n">
        <v>584</v>
      </c>
      <c r="F9" s="40"/>
      <c r="G9" s="8"/>
      <c r="H9" s="41"/>
      <c r="I9" s="42"/>
      <c r="J9" s="43"/>
      <c r="K9" s="44" t="n">
        <f aca="false">SUM(J9*90/100)</f>
        <v>0</v>
      </c>
      <c r="L9" s="45"/>
      <c r="M9" s="44" t="n">
        <f aca="false">K9-L9</f>
        <v>0</v>
      </c>
      <c r="N9" s="46"/>
      <c r="O9" s="47"/>
      <c r="P9" s="12"/>
      <c r="Q9" s="41"/>
      <c r="R9" s="42"/>
      <c r="S9" s="43"/>
      <c r="T9" s="48" t="n">
        <f aca="false">SUM(S9*90/100)</f>
        <v>0</v>
      </c>
      <c r="U9" s="45"/>
      <c r="V9" s="48" t="n">
        <f aca="false">T9-U9</f>
        <v>0</v>
      </c>
      <c r="W9" s="46"/>
      <c r="X9" s="47"/>
    </row>
    <row r="10" customFormat="false" ht="15.75" hidden="false" customHeight="true" outlineLevel="0" collapsed="false">
      <c r="A10" s="59"/>
      <c r="B10" s="57" t="n">
        <v>9640</v>
      </c>
      <c r="C10" s="55" t="n">
        <v>5</v>
      </c>
      <c r="D10" s="18" t="s">
        <v>18</v>
      </c>
      <c r="E10" s="50" t="n">
        <v>20</v>
      </c>
      <c r="F10" s="40"/>
      <c r="G10" s="8"/>
      <c r="H10" s="41"/>
      <c r="I10" s="42"/>
      <c r="J10" s="43"/>
      <c r="K10" s="44" t="n">
        <f aca="false">SUM(J10*90/100)</f>
        <v>0</v>
      </c>
      <c r="L10" s="45"/>
      <c r="M10" s="44" t="n">
        <f aca="false">K10-L10</f>
        <v>0</v>
      </c>
      <c r="N10" s="46"/>
      <c r="O10" s="47"/>
      <c r="P10" s="12"/>
      <c r="Q10" s="41"/>
      <c r="R10" s="42"/>
      <c r="S10" s="43"/>
      <c r="T10" s="48" t="n">
        <f aca="false">SUM(S10*90/100)</f>
        <v>0</v>
      </c>
      <c r="U10" s="45"/>
      <c r="V10" s="48" t="n">
        <f aca="false">T10-U10</f>
        <v>0</v>
      </c>
      <c r="W10" s="46"/>
      <c r="X10" s="47"/>
    </row>
    <row r="11" customFormat="false" ht="15.75" hidden="false" customHeight="true" outlineLevel="0" collapsed="false">
      <c r="A11" s="59"/>
      <c r="B11" s="57" t="n">
        <v>98</v>
      </c>
      <c r="C11" s="55" t="n">
        <v>1</v>
      </c>
      <c r="D11" s="60" t="s">
        <v>18</v>
      </c>
      <c r="E11" s="50" t="n">
        <v>42</v>
      </c>
      <c r="F11" s="40"/>
      <c r="G11" s="8"/>
      <c r="H11" s="41"/>
      <c r="I11" s="42"/>
      <c r="J11" s="43"/>
      <c r="K11" s="44" t="n">
        <f aca="false">SUM(J11*90/100)</f>
        <v>0</v>
      </c>
      <c r="L11" s="45"/>
      <c r="M11" s="44" t="n">
        <f aca="false">K11-L11</f>
        <v>0</v>
      </c>
      <c r="N11" s="46"/>
      <c r="O11" s="47"/>
      <c r="P11" s="12"/>
      <c r="Q11" s="41"/>
      <c r="R11" s="42"/>
      <c r="S11" s="43"/>
      <c r="T11" s="48" t="n">
        <f aca="false">SUM(S11*90/100)</f>
        <v>0</v>
      </c>
      <c r="U11" s="45"/>
      <c r="V11" s="48" t="n">
        <f aca="false">T11-U11</f>
        <v>0</v>
      </c>
      <c r="W11" s="46"/>
      <c r="X11" s="47"/>
    </row>
    <row r="12" customFormat="false" ht="15.75" hidden="false" customHeight="true" outlineLevel="0" collapsed="false">
      <c r="A12" s="59"/>
      <c r="B12" s="57" t="n">
        <v>1400.7</v>
      </c>
      <c r="C12" s="61" t="s">
        <v>20</v>
      </c>
      <c r="D12" s="56" t="s">
        <v>18</v>
      </c>
      <c r="E12" s="62" t="n">
        <f aca="false">SUM(E7:E11)</f>
        <v>17446</v>
      </c>
      <c r="F12" s="40"/>
      <c r="G12" s="8"/>
      <c r="H12" s="41"/>
      <c r="I12" s="42"/>
      <c r="J12" s="43"/>
      <c r="K12" s="44" t="n">
        <f aca="false">SUM(J12*90/100)</f>
        <v>0</v>
      </c>
      <c r="L12" s="45"/>
      <c r="M12" s="44" t="n">
        <f aca="false">K12-L12</f>
        <v>0</v>
      </c>
      <c r="N12" s="46"/>
      <c r="O12" s="47"/>
      <c r="P12" s="12"/>
      <c r="Q12" s="41"/>
      <c r="R12" s="42"/>
      <c r="S12" s="43"/>
      <c r="T12" s="48" t="n">
        <f aca="false">SUM(S12*90/100)</f>
        <v>0</v>
      </c>
      <c r="U12" s="45"/>
      <c r="V12" s="48" t="n">
        <f aca="false">T12-U12</f>
        <v>0</v>
      </c>
      <c r="W12" s="46"/>
      <c r="X12" s="47"/>
    </row>
    <row r="13" customFormat="false" ht="15.75" hidden="false" customHeight="true" outlineLevel="0" collapsed="false">
      <c r="A13" s="59"/>
      <c r="B13" s="17"/>
      <c r="C13" s="63"/>
      <c r="D13" s="18"/>
      <c r="E13" s="17"/>
      <c r="F13" s="40"/>
      <c r="G13" s="8"/>
      <c r="H13" s="41"/>
      <c r="I13" s="42"/>
      <c r="J13" s="43"/>
      <c r="K13" s="44" t="n">
        <f aca="false">SUM(J13*90/100)</f>
        <v>0</v>
      </c>
      <c r="L13" s="45"/>
      <c r="M13" s="44" t="n">
        <f aca="false">K13-L13</f>
        <v>0</v>
      </c>
      <c r="N13" s="46"/>
      <c r="O13" s="47"/>
      <c r="P13" s="12"/>
      <c r="Q13" s="41"/>
      <c r="R13" s="42"/>
      <c r="S13" s="43"/>
      <c r="T13" s="48" t="n">
        <f aca="false">SUM(S13*90/100)</f>
        <v>0</v>
      </c>
      <c r="U13" s="45"/>
      <c r="V13" s="48" t="n">
        <f aca="false">T13-U13</f>
        <v>0</v>
      </c>
      <c r="W13" s="46"/>
      <c r="X13" s="47"/>
    </row>
    <row r="14" customFormat="false" ht="15.75" hidden="false" customHeight="true" outlineLevel="0" collapsed="false">
      <c r="A14" s="59"/>
      <c r="B14" s="17"/>
      <c r="C14" s="63"/>
      <c r="D14" s="18"/>
      <c r="E14" s="17"/>
      <c r="F14" s="40"/>
      <c r="G14" s="8"/>
      <c r="H14" s="41"/>
      <c r="I14" s="42"/>
      <c r="J14" s="43"/>
      <c r="K14" s="44" t="n">
        <f aca="false">SUM(J14*90/100)</f>
        <v>0</v>
      </c>
      <c r="L14" s="45"/>
      <c r="M14" s="44" t="n">
        <f aca="false">K14-L14</f>
        <v>0</v>
      </c>
      <c r="N14" s="46"/>
      <c r="O14" s="47"/>
      <c r="P14" s="12"/>
      <c r="Q14" s="41"/>
      <c r="R14" s="42"/>
      <c r="S14" s="43"/>
      <c r="T14" s="48" t="n">
        <f aca="false">SUM(S14*90/100)</f>
        <v>0</v>
      </c>
      <c r="U14" s="45"/>
      <c r="V14" s="48" t="n">
        <f aca="false">T14-U14</f>
        <v>0</v>
      </c>
      <c r="W14" s="46"/>
      <c r="X14" s="47"/>
    </row>
    <row r="15" customFormat="false" ht="15.75" hidden="false" customHeight="true" outlineLevel="0" collapsed="false">
      <c r="A15" s="59"/>
      <c r="B15" s="17"/>
      <c r="C15" s="63"/>
      <c r="D15" s="18"/>
      <c r="E15" s="17"/>
      <c r="F15" s="40"/>
      <c r="G15" s="8"/>
      <c r="H15" s="41"/>
      <c r="I15" s="42"/>
      <c r="J15" s="43"/>
      <c r="K15" s="44" t="n">
        <f aca="false">SUM(J15*90/100)</f>
        <v>0</v>
      </c>
      <c r="L15" s="45"/>
      <c r="M15" s="44" t="n">
        <f aca="false">K15-L15</f>
        <v>0</v>
      </c>
      <c r="N15" s="46"/>
      <c r="O15" s="47"/>
      <c r="P15" s="12"/>
      <c r="Q15" s="41"/>
      <c r="R15" s="42"/>
      <c r="S15" s="43"/>
      <c r="T15" s="48" t="n">
        <f aca="false">SUM(S15*90/100)</f>
        <v>0</v>
      </c>
      <c r="U15" s="45"/>
      <c r="V15" s="48" t="n">
        <f aca="false">T15-U15</f>
        <v>0</v>
      </c>
      <c r="W15" s="46"/>
      <c r="X15" s="47"/>
    </row>
    <row r="16" customFormat="false" ht="15.75" hidden="false" customHeight="true" outlineLevel="0" collapsed="false">
      <c r="A16" s="59"/>
      <c r="B16" s="17"/>
      <c r="C16" s="63"/>
      <c r="D16" s="18"/>
      <c r="E16" s="17"/>
      <c r="F16" s="40"/>
      <c r="G16" s="8"/>
      <c r="H16" s="41"/>
      <c r="I16" s="42"/>
      <c r="J16" s="43"/>
      <c r="K16" s="44" t="n">
        <f aca="false">SUM(J16*90/100)</f>
        <v>0</v>
      </c>
      <c r="L16" s="45"/>
      <c r="M16" s="44" t="n">
        <f aca="false">K16-L16</f>
        <v>0</v>
      </c>
      <c r="N16" s="46"/>
      <c r="O16" s="47"/>
      <c r="P16" s="12"/>
      <c r="Q16" s="41"/>
      <c r="R16" s="42"/>
      <c r="S16" s="43"/>
      <c r="T16" s="48" t="n">
        <f aca="false">SUM(S16*90/100)</f>
        <v>0</v>
      </c>
      <c r="U16" s="45"/>
      <c r="V16" s="48" t="n">
        <f aca="false">T16-U16</f>
        <v>0</v>
      </c>
      <c r="W16" s="46"/>
      <c r="X16" s="47"/>
    </row>
    <row r="17" customFormat="false" ht="15.75" hidden="false" customHeight="true" outlineLevel="0" collapsed="false">
      <c r="A17" s="59"/>
      <c r="B17" s="17"/>
      <c r="C17" s="63"/>
      <c r="D17" s="18"/>
      <c r="E17" s="17"/>
      <c r="F17" s="40"/>
      <c r="G17" s="8"/>
      <c r="H17" s="41"/>
      <c r="I17" s="42"/>
      <c r="J17" s="43"/>
      <c r="K17" s="44" t="n">
        <f aca="false">SUM(J17*90/100)</f>
        <v>0</v>
      </c>
      <c r="L17" s="45"/>
      <c r="M17" s="44" t="n">
        <f aca="false">K17-L17</f>
        <v>0</v>
      </c>
      <c r="N17" s="46"/>
      <c r="O17" s="47"/>
      <c r="P17" s="12"/>
      <c r="Q17" s="41"/>
      <c r="R17" s="42"/>
      <c r="S17" s="43"/>
      <c r="T17" s="48" t="n">
        <f aca="false">SUM(S17*90/100)</f>
        <v>0</v>
      </c>
      <c r="U17" s="45"/>
      <c r="V17" s="48" t="n">
        <f aca="false">T17-U17</f>
        <v>0</v>
      </c>
      <c r="W17" s="46"/>
      <c r="X17" s="47"/>
    </row>
    <row r="18" customFormat="false" ht="15.75" hidden="false" customHeight="true" outlineLevel="0" collapsed="false">
      <c r="A18" s="59"/>
      <c r="B18" s="17"/>
      <c r="C18" s="63"/>
      <c r="D18" s="18"/>
      <c r="E18" s="17"/>
      <c r="F18" s="40"/>
      <c r="G18" s="8"/>
      <c r="H18" s="41"/>
      <c r="I18" s="42"/>
      <c r="J18" s="43"/>
      <c r="K18" s="44" t="n">
        <f aca="false">SUM(J18*90/100)</f>
        <v>0</v>
      </c>
      <c r="L18" s="45"/>
      <c r="M18" s="44" t="n">
        <f aca="false">K18-L18</f>
        <v>0</v>
      </c>
      <c r="N18" s="46"/>
      <c r="O18" s="47"/>
      <c r="P18" s="12"/>
      <c r="Q18" s="41"/>
      <c r="R18" s="42"/>
      <c r="S18" s="43"/>
      <c r="T18" s="48" t="n">
        <f aca="false">SUM(S18*90/100)</f>
        <v>0</v>
      </c>
      <c r="U18" s="45"/>
      <c r="V18" s="48" t="n">
        <f aca="false">T18-U18</f>
        <v>0</v>
      </c>
      <c r="W18" s="46"/>
      <c r="X18" s="47"/>
    </row>
    <row r="19" customFormat="false" ht="15.75" hidden="false" customHeight="true" outlineLevel="0" collapsed="false">
      <c r="A19" s="59"/>
      <c r="B19" s="17"/>
      <c r="C19" s="63"/>
      <c r="D19" s="18"/>
      <c r="E19" s="17"/>
      <c r="F19" s="40"/>
      <c r="G19" s="8"/>
      <c r="H19" s="41"/>
      <c r="I19" s="42"/>
      <c r="J19" s="43"/>
      <c r="K19" s="44" t="n">
        <f aca="false">SUM(J19*90/100)</f>
        <v>0</v>
      </c>
      <c r="L19" s="45"/>
      <c r="M19" s="44" t="n">
        <f aca="false">K19-L19</f>
        <v>0</v>
      </c>
      <c r="N19" s="46"/>
      <c r="O19" s="47"/>
      <c r="P19" s="12"/>
      <c r="Q19" s="41"/>
      <c r="R19" s="42"/>
      <c r="S19" s="43"/>
      <c r="T19" s="48" t="n">
        <f aca="false">SUM(S19*90/100)</f>
        <v>0</v>
      </c>
      <c r="U19" s="45"/>
      <c r="V19" s="48" t="n">
        <f aca="false">T19-U19</f>
        <v>0</v>
      </c>
      <c r="W19" s="46"/>
      <c r="X19" s="47"/>
    </row>
    <row r="20" customFormat="false" ht="15.75" hidden="false" customHeight="true" outlineLevel="0" collapsed="false">
      <c r="A20" s="59"/>
      <c r="B20" s="17"/>
      <c r="C20" s="63"/>
      <c r="D20" s="18"/>
      <c r="E20" s="17"/>
      <c r="F20" s="40"/>
      <c r="G20" s="8"/>
      <c r="H20" s="41"/>
      <c r="I20" s="42"/>
      <c r="J20" s="43"/>
      <c r="K20" s="44" t="n">
        <f aca="false">SUM(J20*90/100)</f>
        <v>0</v>
      </c>
      <c r="L20" s="45"/>
      <c r="M20" s="44" t="n">
        <f aca="false">K20-L20</f>
        <v>0</v>
      </c>
      <c r="N20" s="46"/>
      <c r="O20" s="47"/>
      <c r="P20" s="12"/>
      <c r="Q20" s="41"/>
      <c r="R20" s="42"/>
      <c r="S20" s="43"/>
      <c r="T20" s="48" t="n">
        <f aca="false">SUM(S20*90/100)</f>
        <v>0</v>
      </c>
      <c r="U20" s="45"/>
      <c r="V20" s="48" t="n">
        <f aca="false">T20-U20</f>
        <v>0</v>
      </c>
      <c r="W20" s="46"/>
      <c r="X20" s="47"/>
    </row>
    <row r="21" customFormat="false" ht="15.75" hidden="false" customHeight="true" outlineLevel="0" collapsed="false">
      <c r="A21" s="64" t="s">
        <v>21</v>
      </c>
      <c r="B21" s="65" t="n">
        <f aca="false">SUM(B9:B20)</f>
        <v>11138.7</v>
      </c>
      <c r="C21" s="66"/>
      <c r="D21" s="67" t="s">
        <v>22</v>
      </c>
      <c r="E21" s="68" t="n">
        <f aca="false">F4+F7+E12</f>
        <v>22139</v>
      </c>
      <c r="F21" s="69"/>
      <c r="G21" s="8"/>
      <c r="H21" s="70"/>
      <c r="I21" s="71"/>
      <c r="J21" s="72" t="n">
        <f aca="false">SUM(J5:J20)</f>
        <v>0</v>
      </c>
      <c r="K21" s="73" t="n">
        <f aca="false">SUM(K5:K20)</f>
        <v>0</v>
      </c>
      <c r="L21" s="72" t="n">
        <f aca="false">SUM(L5:L20)</f>
        <v>0</v>
      </c>
      <c r="M21" s="74" t="n">
        <f aca="false">K21-L21</f>
        <v>0</v>
      </c>
      <c r="N21" s="75"/>
      <c r="O21" s="76"/>
      <c r="P21" s="12"/>
      <c r="Q21" s="70"/>
      <c r="R21" s="75"/>
      <c r="S21" s="72" t="n">
        <f aca="false">SUM(S5:S20)</f>
        <v>1400</v>
      </c>
      <c r="T21" s="77" t="n">
        <f aca="false">SUM(T5:T20)</f>
        <v>1260</v>
      </c>
      <c r="U21" s="72" t="n">
        <f aca="false">SUM(U5:U20)</f>
        <v>55</v>
      </c>
      <c r="V21" s="78" t="n">
        <f aca="false">T21-U21</f>
        <v>1205</v>
      </c>
      <c r="W21" s="75"/>
      <c r="X21" s="76"/>
    </row>
    <row r="22" customFormat="false" ht="15.75" hidden="false" customHeight="true" outlineLevel="0" collapsed="false">
      <c r="A22" s="8"/>
      <c r="B22" s="79"/>
      <c r="C22" s="80"/>
      <c r="D22" s="81"/>
      <c r="E22" s="79"/>
      <c r="F22" s="8"/>
      <c r="G22" s="8"/>
      <c r="H22" s="24"/>
      <c r="I22" s="82"/>
      <c r="J22" s="24"/>
      <c r="K22" s="23"/>
      <c r="L22" s="12"/>
      <c r="M22" s="24"/>
      <c r="N22" s="24"/>
      <c r="O22" s="12"/>
      <c r="P22" s="12"/>
      <c r="Q22" s="83"/>
      <c r="R22" s="83"/>
      <c r="S22" s="83"/>
      <c r="T22" s="83"/>
      <c r="U22" s="83"/>
      <c r="V22" s="83"/>
      <c r="W22" s="83"/>
      <c r="X22" s="83"/>
    </row>
    <row r="23" customFormat="false" ht="15.75" hidden="false" customHeight="true" outlineLevel="0" collapsed="false">
      <c r="A23" s="8"/>
      <c r="B23" s="84" t="s">
        <v>23</v>
      </c>
      <c r="C23" s="84"/>
      <c r="D23" s="84"/>
      <c r="E23" s="79"/>
      <c r="F23" s="8"/>
      <c r="G23" s="8"/>
      <c r="H23" s="9" t="s">
        <v>24</v>
      </c>
      <c r="I23" s="9"/>
      <c r="J23" s="9"/>
      <c r="K23" s="10"/>
      <c r="L23" s="11" t="s">
        <v>5</v>
      </c>
      <c r="M23" s="11"/>
      <c r="N23" s="11"/>
      <c r="O23" s="11"/>
      <c r="P23" s="12"/>
      <c r="Q23" s="13" t="s">
        <v>25</v>
      </c>
      <c r="R23" s="13"/>
      <c r="S23" s="13"/>
      <c r="T23" s="85"/>
      <c r="U23" s="11" t="s">
        <v>5</v>
      </c>
      <c r="V23" s="11"/>
      <c r="W23" s="11"/>
      <c r="X23" s="11"/>
    </row>
    <row r="24" customFormat="false" ht="15.75" hidden="false" customHeight="true" outlineLevel="0" collapsed="false">
      <c r="A24" s="8"/>
      <c r="B24" s="84"/>
      <c r="C24" s="84"/>
      <c r="D24" s="84"/>
      <c r="E24" s="79"/>
      <c r="F24" s="8"/>
      <c r="G24" s="8"/>
      <c r="H24" s="20"/>
      <c r="I24" s="21"/>
      <c r="J24" s="22"/>
      <c r="K24" s="23"/>
      <c r="L24" s="12"/>
      <c r="M24" s="24"/>
      <c r="N24" s="24"/>
      <c r="O24" s="25"/>
      <c r="P24" s="12"/>
      <c r="Q24" s="20"/>
      <c r="R24" s="22"/>
      <c r="S24" s="22"/>
      <c r="T24" s="12"/>
      <c r="U24" s="12"/>
      <c r="V24" s="24"/>
      <c r="W24" s="24"/>
      <c r="X24" s="25"/>
    </row>
    <row r="25" customFormat="false" ht="15.75" hidden="false" customHeight="true" outlineLevel="0" collapsed="false">
      <c r="A25" s="8"/>
      <c r="B25" s="84"/>
      <c r="C25" s="84"/>
      <c r="D25" s="84"/>
      <c r="E25" s="79"/>
      <c r="F25" s="8"/>
      <c r="G25" s="8"/>
      <c r="H25" s="86" t="s">
        <v>9</v>
      </c>
      <c r="I25" s="87" t="s">
        <v>10</v>
      </c>
      <c r="J25" s="33" t="s">
        <v>11</v>
      </c>
      <c r="K25" s="87" t="s">
        <v>12</v>
      </c>
      <c r="L25" s="88" t="s">
        <v>13</v>
      </c>
      <c r="M25" s="88" t="s">
        <v>14</v>
      </c>
      <c r="N25" s="88" t="s">
        <v>15</v>
      </c>
      <c r="O25" s="89" t="s">
        <v>16</v>
      </c>
      <c r="P25" s="12"/>
      <c r="Q25" s="86" t="s">
        <v>9</v>
      </c>
      <c r="R25" s="87" t="s">
        <v>10</v>
      </c>
      <c r="S25" s="33" t="s">
        <v>11</v>
      </c>
      <c r="T25" s="87" t="s">
        <v>12</v>
      </c>
      <c r="U25" s="88" t="s">
        <v>13</v>
      </c>
      <c r="V25" s="88" t="s">
        <v>14</v>
      </c>
      <c r="W25" s="88" t="s">
        <v>15</v>
      </c>
      <c r="X25" s="89" t="s">
        <v>16</v>
      </c>
    </row>
    <row r="26" customFormat="false" ht="15.75" hidden="false" customHeight="true" outlineLevel="0" collapsed="false">
      <c r="A26" s="8"/>
      <c r="B26" s="84"/>
      <c r="C26" s="84"/>
      <c r="D26" s="84"/>
      <c r="E26" s="79"/>
      <c r="F26" s="8"/>
      <c r="G26" s="8"/>
      <c r="H26" s="41"/>
      <c r="I26" s="42"/>
      <c r="J26" s="43" t="n">
        <v>2260</v>
      </c>
      <c r="K26" s="90" t="s">
        <v>26</v>
      </c>
      <c r="L26" s="45" t="n">
        <v>0</v>
      </c>
      <c r="M26" s="44" t="n">
        <f aca="false">K26-L26</f>
        <v>2070</v>
      </c>
      <c r="N26" s="46"/>
      <c r="O26" s="47"/>
      <c r="P26" s="12"/>
      <c r="Q26" s="41"/>
      <c r="R26" s="42"/>
      <c r="S26" s="43"/>
      <c r="T26" s="48" t="n">
        <f aca="false">S26*90/100</f>
        <v>0</v>
      </c>
      <c r="U26" s="45"/>
      <c r="V26" s="48" t="n">
        <f aca="false">T26-U26</f>
        <v>0</v>
      </c>
      <c r="W26" s="46"/>
      <c r="X26" s="47"/>
    </row>
    <row r="27" customFormat="false" ht="15.75" hidden="false" customHeight="true" outlineLevel="0" collapsed="false">
      <c r="A27" s="8"/>
      <c r="B27" s="84"/>
      <c r="C27" s="84"/>
      <c r="D27" s="84"/>
      <c r="E27" s="79"/>
      <c r="F27" s="8"/>
      <c r="G27" s="8"/>
      <c r="H27" s="41"/>
      <c r="I27" s="42"/>
      <c r="J27" s="43"/>
      <c r="K27" s="90" t="n">
        <f aca="false">SUM(J27*90/100)</f>
        <v>0</v>
      </c>
      <c r="L27" s="45"/>
      <c r="M27" s="44" t="n">
        <f aca="false">K27-L27</f>
        <v>0</v>
      </c>
      <c r="N27" s="46"/>
      <c r="O27" s="47"/>
      <c r="P27" s="12"/>
      <c r="Q27" s="41"/>
      <c r="R27" s="42"/>
      <c r="S27" s="43"/>
      <c r="T27" s="48" t="n">
        <f aca="false">S27*90/100</f>
        <v>0</v>
      </c>
      <c r="U27" s="45"/>
      <c r="V27" s="48" t="n">
        <f aca="false">T27-U27</f>
        <v>0</v>
      </c>
      <c r="W27" s="46"/>
      <c r="X27" s="47"/>
    </row>
    <row r="28" customFormat="false" ht="15.75" hidden="false" customHeight="true" outlineLevel="0" collapsed="false">
      <c r="A28" s="8"/>
      <c r="B28" s="91" t="n">
        <f aca="false">E21-B7-B21-M21-M36-V21-V36</f>
        <v>3561</v>
      </c>
      <c r="C28" s="91"/>
      <c r="D28" s="91"/>
      <c r="E28" s="79"/>
      <c r="F28" s="8"/>
      <c r="G28" s="8"/>
      <c r="H28" s="41"/>
      <c r="I28" s="42"/>
      <c r="J28" s="43"/>
      <c r="K28" s="90" t="n">
        <f aca="false">SUM(J28*90/100)</f>
        <v>0</v>
      </c>
      <c r="L28" s="45"/>
      <c r="M28" s="44" t="n">
        <f aca="false">K28-L28</f>
        <v>0</v>
      </c>
      <c r="N28" s="46"/>
      <c r="O28" s="47"/>
      <c r="P28" s="12"/>
      <c r="Q28" s="41"/>
      <c r="R28" s="42"/>
      <c r="S28" s="43"/>
      <c r="T28" s="48" t="n">
        <f aca="false">S28*90/100</f>
        <v>0</v>
      </c>
      <c r="U28" s="45"/>
      <c r="V28" s="48" t="n">
        <f aca="false">T28-U28</f>
        <v>0</v>
      </c>
      <c r="W28" s="46"/>
      <c r="X28" s="47"/>
    </row>
    <row r="29" customFormat="false" ht="15.75" hidden="false" customHeight="true" outlineLevel="0" collapsed="false">
      <c r="A29" s="8"/>
      <c r="B29" s="91"/>
      <c r="C29" s="91"/>
      <c r="D29" s="91"/>
      <c r="E29" s="79"/>
      <c r="F29" s="8"/>
      <c r="G29" s="8"/>
      <c r="H29" s="41"/>
      <c r="I29" s="42"/>
      <c r="J29" s="43"/>
      <c r="K29" s="90" t="n">
        <f aca="false">SUM(J29*90/100)</f>
        <v>0</v>
      </c>
      <c r="L29" s="45"/>
      <c r="M29" s="44" t="n">
        <f aca="false">K29-L29</f>
        <v>0</v>
      </c>
      <c r="N29" s="46"/>
      <c r="O29" s="47"/>
      <c r="P29" s="12"/>
      <c r="Q29" s="41"/>
      <c r="R29" s="42"/>
      <c r="S29" s="43"/>
      <c r="T29" s="48" t="n">
        <f aca="false">S29*90/100</f>
        <v>0</v>
      </c>
      <c r="U29" s="45"/>
      <c r="V29" s="48" t="n">
        <f aca="false">T29-U29</f>
        <v>0</v>
      </c>
      <c r="W29" s="46"/>
      <c r="X29" s="47"/>
    </row>
    <row r="30" customFormat="false" ht="15.75" hidden="false" customHeight="true" outlineLevel="0" collapsed="false">
      <c r="A30" s="8"/>
      <c r="B30" s="91"/>
      <c r="C30" s="91"/>
      <c r="D30" s="91"/>
      <c r="E30" s="79"/>
      <c r="F30" s="8"/>
      <c r="G30" s="8"/>
      <c r="H30" s="41"/>
      <c r="I30" s="42"/>
      <c r="J30" s="43"/>
      <c r="K30" s="90" t="n">
        <f aca="false">SUM(J30*90/100)</f>
        <v>0</v>
      </c>
      <c r="L30" s="45"/>
      <c r="M30" s="44" t="n">
        <f aca="false">K30-L30</f>
        <v>0</v>
      </c>
      <c r="N30" s="46"/>
      <c r="O30" s="47"/>
      <c r="P30" s="12"/>
      <c r="Q30" s="41"/>
      <c r="R30" s="42"/>
      <c r="S30" s="43"/>
      <c r="T30" s="48" t="n">
        <f aca="false">S30*90/100</f>
        <v>0</v>
      </c>
      <c r="U30" s="45"/>
      <c r="V30" s="48" t="n">
        <f aca="false">T30-U30</f>
        <v>0</v>
      </c>
      <c r="W30" s="46"/>
      <c r="X30" s="47"/>
    </row>
    <row r="31" customFormat="false" ht="15.75" hidden="false" customHeight="true" outlineLevel="0" collapsed="false">
      <c r="A31" s="8"/>
      <c r="B31" s="91"/>
      <c r="C31" s="91"/>
      <c r="D31" s="91"/>
      <c r="E31" s="79"/>
      <c r="F31" s="8"/>
      <c r="G31" s="8"/>
      <c r="H31" s="41"/>
      <c r="I31" s="42"/>
      <c r="J31" s="43"/>
      <c r="K31" s="90" t="n">
        <f aca="false">SUM(J31*90/100)</f>
        <v>0</v>
      </c>
      <c r="L31" s="45"/>
      <c r="M31" s="44" t="n">
        <f aca="false">K31-L31</f>
        <v>0</v>
      </c>
      <c r="N31" s="46"/>
      <c r="O31" s="47"/>
      <c r="P31" s="12"/>
      <c r="Q31" s="41"/>
      <c r="R31" s="42"/>
      <c r="S31" s="43"/>
      <c r="T31" s="48" t="n">
        <f aca="false">S31*90/100</f>
        <v>0</v>
      </c>
      <c r="U31" s="45"/>
      <c r="V31" s="48" t="n">
        <f aca="false">T31-U31</f>
        <v>0</v>
      </c>
      <c r="W31" s="46"/>
      <c r="X31" s="47"/>
    </row>
    <row r="32" customFormat="false" ht="15.75" hidden="false" customHeight="true" outlineLevel="0" collapsed="false">
      <c r="A32" s="1"/>
      <c r="B32" s="91"/>
      <c r="C32" s="91"/>
      <c r="D32" s="91"/>
      <c r="E32" s="1"/>
      <c r="F32" s="8"/>
      <c r="G32" s="8"/>
      <c r="H32" s="41"/>
      <c r="I32" s="42"/>
      <c r="J32" s="43"/>
      <c r="K32" s="90" t="n">
        <f aca="false">SUM(J32*90/100)</f>
        <v>0</v>
      </c>
      <c r="L32" s="45"/>
      <c r="M32" s="44" t="n">
        <f aca="false">K32-L32</f>
        <v>0</v>
      </c>
      <c r="N32" s="46"/>
      <c r="O32" s="47"/>
      <c r="P32" s="12"/>
      <c r="Q32" s="41"/>
      <c r="R32" s="42"/>
      <c r="S32" s="43"/>
      <c r="T32" s="48" t="n">
        <f aca="false">S32*90/100</f>
        <v>0</v>
      </c>
      <c r="U32" s="45"/>
      <c r="V32" s="48" t="n">
        <f aca="false">T32-U32</f>
        <v>0</v>
      </c>
      <c r="W32" s="46"/>
      <c r="X32" s="47"/>
    </row>
    <row r="33" customFormat="false" ht="15.75" hidden="false" customHeight="true" outlineLevel="0" collapsed="false">
      <c r="A33" s="1"/>
      <c r="B33" s="1"/>
      <c r="C33" s="1"/>
      <c r="D33" s="1"/>
      <c r="E33" s="1"/>
      <c r="F33" s="8"/>
      <c r="G33" s="8"/>
      <c r="H33" s="41"/>
      <c r="I33" s="42"/>
      <c r="J33" s="43"/>
      <c r="K33" s="90" t="n">
        <f aca="false">SUM(J33*90/100)</f>
        <v>0</v>
      </c>
      <c r="L33" s="45"/>
      <c r="M33" s="44" t="n">
        <f aca="false">K33-L33</f>
        <v>0</v>
      </c>
      <c r="N33" s="46"/>
      <c r="O33" s="47"/>
      <c r="P33" s="12"/>
      <c r="Q33" s="41"/>
      <c r="R33" s="42"/>
      <c r="S33" s="43"/>
      <c r="T33" s="48" t="n">
        <f aca="false">S33*90/100</f>
        <v>0</v>
      </c>
      <c r="U33" s="45"/>
      <c r="V33" s="48" t="n">
        <f aca="false">T33-U33</f>
        <v>0</v>
      </c>
      <c r="W33" s="46"/>
      <c r="X33" s="47"/>
    </row>
    <row r="34" customFormat="false" ht="14.25" hidden="false" customHeight="true" outlineLevel="0" collapsed="false">
      <c r="A34" s="92" t="s">
        <v>27</v>
      </c>
      <c r="B34" s="92"/>
      <c r="C34" s="92"/>
      <c r="D34" s="1"/>
      <c r="E34" s="1"/>
      <c r="F34" s="8"/>
      <c r="G34" s="8"/>
      <c r="H34" s="41"/>
      <c r="I34" s="42"/>
      <c r="J34" s="43"/>
      <c r="K34" s="90" t="n">
        <f aca="false">SUM(J34*90/100)</f>
        <v>0</v>
      </c>
      <c r="L34" s="45"/>
      <c r="M34" s="44" t="n">
        <f aca="false">K34-L34</f>
        <v>0</v>
      </c>
      <c r="N34" s="46"/>
      <c r="O34" s="47"/>
      <c r="P34" s="12"/>
      <c r="Q34" s="41"/>
      <c r="R34" s="42"/>
      <c r="S34" s="43"/>
      <c r="T34" s="48" t="n">
        <f aca="false">S34*90/100</f>
        <v>0</v>
      </c>
      <c r="U34" s="45"/>
      <c r="V34" s="48" t="n">
        <f aca="false">T34-U34</f>
        <v>0</v>
      </c>
      <c r="W34" s="46"/>
      <c r="X34" s="47"/>
    </row>
    <row r="35" customFormat="false" ht="18" hidden="false" customHeight="true" outlineLevel="0" collapsed="false">
      <c r="A35" s="93"/>
      <c r="B35" s="93"/>
      <c r="C35" s="93"/>
      <c r="D35" s="1"/>
      <c r="E35" s="1"/>
      <c r="F35" s="8"/>
      <c r="G35" s="8"/>
      <c r="H35" s="41"/>
      <c r="I35" s="42"/>
      <c r="J35" s="43"/>
      <c r="K35" s="90" t="n">
        <f aca="false">SUM(J35*90/100)</f>
        <v>0</v>
      </c>
      <c r="L35" s="45"/>
      <c r="M35" s="44" t="n">
        <f aca="false">K35-L35</f>
        <v>0</v>
      </c>
      <c r="N35" s="46"/>
      <c r="O35" s="47"/>
      <c r="P35" s="12"/>
      <c r="Q35" s="41"/>
      <c r="R35" s="42"/>
      <c r="S35" s="43"/>
      <c r="T35" s="48" t="n">
        <f aca="false">S35*90/100</f>
        <v>0</v>
      </c>
      <c r="U35" s="45"/>
      <c r="V35" s="48" t="n">
        <f aca="false">T35-U35</f>
        <v>0</v>
      </c>
      <c r="W35" s="46"/>
      <c r="X35" s="47"/>
    </row>
    <row r="36" customFormat="false" ht="24" hidden="false" customHeight="true" outlineLevel="0" collapsed="false">
      <c r="A36" s="92" t="s">
        <v>28</v>
      </c>
      <c r="B36" s="92"/>
      <c r="C36" s="94"/>
      <c r="D36" s="1"/>
      <c r="E36" s="1"/>
      <c r="F36" s="8"/>
      <c r="G36" s="8"/>
      <c r="H36" s="70"/>
      <c r="I36" s="71"/>
      <c r="J36" s="72" t="n">
        <f aca="false">SUM(J26:J35)</f>
        <v>2260</v>
      </c>
      <c r="K36" s="95" t="n">
        <f aca="false">SUM(J36*90/100)</f>
        <v>2034</v>
      </c>
      <c r="L36" s="72" t="n">
        <f aca="false">SUM(L26:L35)</f>
        <v>0</v>
      </c>
      <c r="M36" s="74" t="n">
        <f aca="false">K36-L36</f>
        <v>2034</v>
      </c>
      <c r="N36" s="75"/>
      <c r="O36" s="76"/>
      <c r="P36" s="12"/>
      <c r="Q36" s="70"/>
      <c r="R36" s="75"/>
      <c r="S36" s="72" t="n">
        <f aca="false">SUM(S26:S35)</f>
        <v>0</v>
      </c>
      <c r="T36" s="77" t="n">
        <f aca="false">SUM(T26:T35)</f>
        <v>0</v>
      </c>
      <c r="U36" s="72" t="n">
        <f aca="false">SUM(U26:U35)</f>
        <v>0</v>
      </c>
      <c r="V36" s="78" t="n">
        <f aca="false">T36-U36</f>
        <v>0</v>
      </c>
      <c r="W36" s="75"/>
      <c r="X36" s="76"/>
    </row>
    <row r="37" customFormat="false" ht="7.5" hidden="false" customHeight="true" outlineLevel="0" collapsed="false">
      <c r="A37" s="1"/>
      <c r="B37" s="1"/>
      <c r="C37" s="8"/>
      <c r="D37" s="1"/>
      <c r="E37" s="1"/>
      <c r="F37" s="8"/>
      <c r="G37" s="8"/>
      <c r="H37" s="79"/>
      <c r="I37" s="96"/>
      <c r="J37" s="79"/>
      <c r="K37" s="97"/>
      <c r="L37" s="8"/>
      <c r="M37" s="79"/>
      <c r="N37" s="79"/>
      <c r="O37" s="8"/>
      <c r="P37" s="8"/>
      <c r="Q37" s="1"/>
      <c r="R37" s="1"/>
      <c r="S37" s="1"/>
      <c r="T37" s="1"/>
      <c r="U37" s="1"/>
      <c r="V37" s="1"/>
      <c r="W37" s="1"/>
      <c r="X37" s="1"/>
    </row>
    <row r="38" customFormat="false" ht="1.5" hidden="false" customHeight="true" outlineLevel="0" collapsed="false">
      <c r="A38" s="1"/>
      <c r="B38" s="1"/>
      <c r="C38" s="8"/>
      <c r="D38" s="1"/>
      <c r="E38" s="1"/>
      <c r="F38" s="8"/>
      <c r="G38" s="8"/>
      <c r="H38" s="79"/>
      <c r="I38" s="96"/>
      <c r="J38" s="79"/>
      <c r="K38" s="97"/>
      <c r="L38" s="8"/>
      <c r="M38" s="79"/>
      <c r="N38" s="79"/>
      <c r="O38" s="8"/>
      <c r="P38" s="8"/>
      <c r="Q38" s="1"/>
      <c r="R38" s="1"/>
      <c r="S38" s="1"/>
      <c r="T38" s="93"/>
      <c r="U38" s="93"/>
      <c r="V38" s="1"/>
      <c r="W38" s="1"/>
      <c r="X38" s="1"/>
    </row>
    <row r="39" customFormat="false" ht="24" hidden="false" customHeight="true" outlineLevel="0" collapsed="false">
      <c r="A39" s="98" t="s">
        <v>29</v>
      </c>
      <c r="B39" s="98"/>
      <c r="C39" s="99" t="n">
        <f aca="false">SUM(C36+D59-E59+G59-H59+K59-L59)</f>
        <v>0</v>
      </c>
      <c r="D39" s="100" t="s">
        <v>30</v>
      </c>
      <c r="E39" s="101" t="s">
        <v>31</v>
      </c>
      <c r="F39" s="102" t="s">
        <v>32</v>
      </c>
      <c r="G39" s="101" t="s">
        <v>30</v>
      </c>
      <c r="H39" s="101" t="s">
        <v>33</v>
      </c>
      <c r="I39" s="103" t="s">
        <v>32</v>
      </c>
      <c r="J39" s="104"/>
      <c r="K39" s="101" t="s">
        <v>30</v>
      </c>
      <c r="L39" s="101" t="s">
        <v>33</v>
      </c>
      <c r="M39" s="105" t="s">
        <v>32</v>
      </c>
      <c r="N39" s="106"/>
      <c r="O39" s="1"/>
      <c r="P39" s="8"/>
      <c r="Q39" s="1"/>
      <c r="R39" s="1"/>
      <c r="S39" s="93"/>
      <c r="T39" s="93"/>
      <c r="U39" s="93"/>
      <c r="V39" s="1"/>
      <c r="W39" s="1"/>
      <c r="X39" s="1"/>
    </row>
    <row r="40" customFormat="false" ht="15.75" hidden="false" customHeight="true" outlineLevel="0" collapsed="false">
      <c r="A40" s="98"/>
      <c r="B40" s="98"/>
      <c r="C40" s="99"/>
      <c r="D40" s="101"/>
      <c r="E40" s="101"/>
      <c r="F40" s="107"/>
      <c r="G40" s="101"/>
      <c r="H40" s="108"/>
      <c r="I40" s="100"/>
      <c r="J40" s="109"/>
      <c r="K40" s="110"/>
      <c r="L40" s="101"/>
      <c r="M40" s="100"/>
      <c r="N40" s="100"/>
      <c r="O40" s="1"/>
      <c r="P40" s="8"/>
      <c r="Q40" s="1"/>
      <c r="R40" s="1"/>
      <c r="S40" s="93"/>
      <c r="T40" s="93"/>
      <c r="U40" s="1"/>
      <c r="V40" s="1"/>
      <c r="W40" s="1"/>
      <c r="X40" s="1"/>
    </row>
    <row r="41" customFormat="false" ht="15.75" hidden="false" customHeight="true" outlineLevel="0" collapsed="false">
      <c r="A41" s="98"/>
      <c r="B41" s="98"/>
      <c r="C41" s="99"/>
      <c r="D41" s="101"/>
      <c r="E41" s="101"/>
      <c r="F41" s="107"/>
      <c r="G41" s="101"/>
      <c r="H41" s="108"/>
      <c r="I41" s="100"/>
      <c r="J41" s="109"/>
      <c r="K41" s="110"/>
      <c r="L41" s="101"/>
      <c r="M41" s="100"/>
      <c r="N41" s="100"/>
      <c r="O41" s="1"/>
      <c r="P41" s="8"/>
      <c r="Q41" s="1"/>
      <c r="R41" s="1"/>
      <c r="S41" s="1"/>
      <c r="T41" s="1"/>
      <c r="U41" s="1"/>
      <c r="V41" s="1"/>
      <c r="W41" s="1"/>
      <c r="X41" s="1"/>
    </row>
    <row r="42" customFormat="false" ht="15.75" hidden="false" customHeight="true" outlineLevel="0" collapsed="false">
      <c r="A42" s="98"/>
      <c r="B42" s="98"/>
      <c r="C42" s="99"/>
      <c r="D42" s="101"/>
      <c r="E42" s="101"/>
      <c r="F42" s="107"/>
      <c r="G42" s="101"/>
      <c r="H42" s="108"/>
      <c r="I42" s="100"/>
      <c r="J42" s="109"/>
      <c r="K42" s="110"/>
      <c r="L42" s="101"/>
      <c r="M42" s="100"/>
      <c r="N42" s="100"/>
      <c r="O42" s="1"/>
      <c r="P42" s="8"/>
      <c r="Q42" s="1"/>
      <c r="R42" s="1"/>
      <c r="S42" s="111" t="s">
        <v>34</v>
      </c>
      <c r="T42" s="111" t="s">
        <v>35</v>
      </c>
      <c r="U42" s="112" t="n">
        <f aca="false">SUM(L21+U21+L36+U36)</f>
        <v>55</v>
      </c>
      <c r="V42" s="111"/>
      <c r="W42" s="111"/>
      <c r="X42" s="111"/>
    </row>
    <row r="43" customFormat="false" ht="15.75" hidden="false" customHeight="true" outlineLevel="0" collapsed="false">
      <c r="A43" s="98"/>
      <c r="B43" s="98"/>
      <c r="C43" s="99"/>
      <c r="D43" s="101"/>
      <c r="E43" s="101"/>
      <c r="F43" s="107"/>
      <c r="G43" s="101"/>
      <c r="H43" s="108"/>
      <c r="I43" s="100"/>
      <c r="J43" s="109"/>
      <c r="K43" s="110"/>
      <c r="L43" s="101"/>
      <c r="M43" s="100"/>
      <c r="N43" s="100"/>
      <c r="O43" s="1"/>
      <c r="P43" s="8"/>
      <c r="Q43" s="1"/>
      <c r="R43" s="1"/>
      <c r="S43" s="111" t="s">
        <v>36</v>
      </c>
      <c r="T43" s="111" t="s">
        <v>35</v>
      </c>
      <c r="U43" s="111"/>
      <c r="V43" s="111"/>
      <c r="W43" s="111"/>
      <c r="X43" s="111"/>
    </row>
    <row r="44" customFormat="false" ht="15.75" hidden="false" customHeight="true" outlineLevel="0" collapsed="false">
      <c r="A44" s="98"/>
      <c r="B44" s="98"/>
      <c r="C44" s="99"/>
      <c r="D44" s="101"/>
      <c r="E44" s="101"/>
      <c r="F44" s="107"/>
      <c r="G44" s="101"/>
      <c r="H44" s="108"/>
      <c r="I44" s="100"/>
      <c r="J44" s="109"/>
      <c r="K44" s="110"/>
      <c r="M44" s="100"/>
      <c r="N44" s="100"/>
      <c r="O44" s="1"/>
      <c r="P44" s="8"/>
      <c r="Q44" s="1"/>
      <c r="R44" s="1"/>
      <c r="S44" s="111"/>
      <c r="T44" s="111"/>
      <c r="U44" s="111"/>
      <c r="V44" s="111"/>
      <c r="W44" s="111"/>
      <c r="X44" s="111"/>
    </row>
    <row r="45" customFormat="false" ht="15.75" hidden="false" customHeight="true" outlineLevel="0" collapsed="false">
      <c r="A45" s="98"/>
      <c r="B45" s="98"/>
      <c r="C45" s="99"/>
      <c r="D45" s="101"/>
      <c r="E45" s="101"/>
      <c r="F45" s="107"/>
      <c r="G45" s="101"/>
      <c r="H45" s="108"/>
      <c r="I45" s="113"/>
      <c r="J45" s="114"/>
      <c r="K45" s="110"/>
      <c r="L45" s="101"/>
      <c r="M45" s="100"/>
      <c r="N45" s="100"/>
      <c r="O45" s="1"/>
      <c r="P45" s="8"/>
      <c r="Q45" s="1"/>
      <c r="R45" s="1"/>
      <c r="S45" s="111"/>
      <c r="T45" s="111"/>
      <c r="U45" s="111"/>
      <c r="V45" s="111"/>
      <c r="W45" s="111"/>
      <c r="X45" s="111"/>
    </row>
    <row r="46" customFormat="false" ht="15.75" hidden="false" customHeight="true" outlineLevel="0" collapsed="false">
      <c r="A46" s="98"/>
      <c r="B46" s="98"/>
      <c r="C46" s="99"/>
      <c r="D46" s="101"/>
      <c r="E46" s="101"/>
      <c r="F46" s="107"/>
      <c r="G46" s="101"/>
      <c r="H46" s="108"/>
      <c r="I46" s="100"/>
      <c r="J46" s="109"/>
      <c r="K46" s="110"/>
      <c r="L46" s="101"/>
      <c r="M46" s="100"/>
      <c r="N46" s="100"/>
      <c r="O46" s="1"/>
      <c r="P46" s="8"/>
      <c r="Q46" s="1"/>
      <c r="R46" s="1"/>
      <c r="S46" s="111"/>
      <c r="T46" s="111"/>
      <c r="U46" s="111"/>
      <c r="V46" s="111"/>
      <c r="W46" s="111"/>
      <c r="X46" s="111"/>
    </row>
    <row r="47" customFormat="false" ht="15.75" hidden="false" customHeight="true" outlineLevel="0" collapsed="false">
      <c r="A47" s="98"/>
      <c r="B47" s="98"/>
      <c r="C47" s="99"/>
      <c r="D47" s="101"/>
      <c r="E47" s="101"/>
      <c r="F47" s="107"/>
      <c r="G47" s="101"/>
      <c r="H47" s="108"/>
      <c r="I47" s="100"/>
      <c r="J47" s="109"/>
      <c r="K47" s="110"/>
      <c r="L47" s="101"/>
      <c r="M47" s="115"/>
      <c r="N47" s="115"/>
      <c r="O47" s="1"/>
      <c r="P47" s="8"/>
      <c r="Q47" s="1"/>
      <c r="R47" s="1"/>
      <c r="S47" s="111" t="s">
        <v>37</v>
      </c>
      <c r="T47" s="111"/>
      <c r="U47" s="111"/>
      <c r="V47" s="111"/>
      <c r="W47" s="111" t="s">
        <v>38</v>
      </c>
      <c r="X47" s="111"/>
    </row>
    <row r="48" customFormat="false" ht="22.5" hidden="false" customHeight="true" outlineLevel="0" collapsed="false">
      <c r="A48" s="98"/>
      <c r="B48" s="98"/>
      <c r="C48" s="99"/>
      <c r="D48" s="101"/>
      <c r="E48" s="101"/>
      <c r="F48" s="107"/>
      <c r="G48" s="101"/>
      <c r="H48" s="108"/>
      <c r="I48" s="116"/>
      <c r="J48" s="114"/>
      <c r="K48" s="110"/>
      <c r="L48" s="108"/>
      <c r="M48" s="100"/>
      <c r="N48" s="100"/>
      <c r="O48" s="1"/>
      <c r="P48" s="8"/>
      <c r="Q48" s="1"/>
      <c r="R48" s="1"/>
      <c r="S48" s="1"/>
      <c r="T48" s="1"/>
      <c r="U48" s="18" t="s">
        <v>39</v>
      </c>
      <c r="V48" s="93"/>
      <c r="W48" s="93"/>
      <c r="X48" s="1"/>
    </row>
    <row r="49" customFormat="false" ht="15.75" hidden="false" customHeight="true" outlineLevel="0" collapsed="false">
      <c r="A49" s="98"/>
      <c r="B49" s="98"/>
      <c r="C49" s="99"/>
      <c r="D49" s="101"/>
      <c r="E49" s="101"/>
      <c r="F49" s="117"/>
      <c r="G49" s="101"/>
      <c r="H49" s="108"/>
      <c r="I49" s="100"/>
      <c r="J49" s="100"/>
      <c r="K49" s="110"/>
      <c r="L49" s="108"/>
      <c r="M49" s="100"/>
      <c r="N49" s="100"/>
      <c r="O49" s="1"/>
      <c r="P49" s="8"/>
      <c r="Q49" s="1"/>
      <c r="R49" s="1"/>
      <c r="S49" s="1"/>
      <c r="T49" s="1"/>
      <c r="U49" s="93"/>
      <c r="V49" s="93"/>
      <c r="W49" s="93"/>
      <c r="X49" s="1"/>
    </row>
    <row r="50" customFormat="false" ht="16.5" hidden="false" customHeight="true" outlineLevel="0" collapsed="false">
      <c r="A50" s="98"/>
      <c r="B50" s="98"/>
      <c r="C50" s="99"/>
      <c r="D50" s="101"/>
      <c r="E50" s="101"/>
      <c r="F50" s="117"/>
      <c r="G50" s="101"/>
      <c r="H50" s="108"/>
      <c r="I50" s="100"/>
      <c r="J50" s="100"/>
      <c r="K50" s="110"/>
      <c r="L50" s="101"/>
      <c r="M50" s="113"/>
      <c r="N50" s="113"/>
      <c r="O50" s="1"/>
      <c r="P50" s="8"/>
      <c r="Q50" s="1"/>
      <c r="R50" s="1"/>
      <c r="S50" s="1"/>
      <c r="T50" s="1"/>
      <c r="U50" s="93" t="s">
        <v>40</v>
      </c>
      <c r="V50" s="93"/>
      <c r="W50" s="93"/>
      <c r="X50" s="1"/>
    </row>
    <row r="51" customFormat="false" ht="22.5" hidden="false" customHeight="true" outlineLevel="0" collapsed="false">
      <c r="A51" s="98"/>
      <c r="B51" s="98"/>
      <c r="C51" s="99"/>
      <c r="D51" s="101"/>
      <c r="E51" s="101"/>
      <c r="F51" s="117"/>
      <c r="G51" s="101"/>
      <c r="H51" s="108"/>
      <c r="I51" s="118"/>
      <c r="J51" s="119"/>
      <c r="K51" s="110"/>
      <c r="L51" s="101"/>
      <c r="M51" s="118"/>
      <c r="N51" s="120"/>
      <c r="O51" s="1"/>
      <c r="P51" s="8"/>
      <c r="Q51" s="1"/>
      <c r="R51" s="1"/>
      <c r="S51" s="1"/>
      <c r="T51" s="1"/>
      <c r="U51" s="1"/>
      <c r="V51" s="1"/>
      <c r="W51" s="1"/>
      <c r="X51" s="1"/>
    </row>
    <row r="52" customFormat="false" ht="15.75" hidden="false" customHeight="true" outlineLevel="0" collapsed="false">
      <c r="A52" s="98"/>
      <c r="B52" s="98"/>
      <c r="C52" s="99"/>
      <c r="D52" s="101"/>
      <c r="E52" s="101"/>
      <c r="F52" s="117"/>
      <c r="G52" s="101"/>
      <c r="H52" s="108"/>
      <c r="I52" s="113"/>
      <c r="J52" s="121"/>
      <c r="K52" s="110"/>
      <c r="L52" s="101"/>
      <c r="M52" s="118"/>
      <c r="N52" s="120"/>
      <c r="O52" s="1"/>
      <c r="P52" s="8"/>
      <c r="Q52" s="1"/>
      <c r="R52" s="1"/>
      <c r="S52" s="1"/>
      <c r="T52" s="1"/>
      <c r="U52" s="1"/>
      <c r="V52" s="1"/>
      <c r="W52" s="1"/>
      <c r="X52" s="1"/>
    </row>
    <row r="53" customFormat="false" ht="15.75" hidden="false" customHeight="true" outlineLevel="0" collapsed="false">
      <c r="A53" s="98"/>
      <c r="B53" s="98"/>
      <c r="C53" s="99"/>
      <c r="D53" s="101"/>
      <c r="E53" s="101"/>
      <c r="F53" s="117"/>
      <c r="G53" s="101"/>
      <c r="H53" s="108"/>
      <c r="I53" s="100"/>
      <c r="J53" s="122"/>
      <c r="K53" s="110"/>
      <c r="L53" s="101"/>
      <c r="M53" s="118"/>
      <c r="N53" s="120"/>
      <c r="O53" s="1"/>
      <c r="P53" s="8"/>
      <c r="Q53" s="1"/>
      <c r="R53" s="1"/>
      <c r="S53" s="1"/>
      <c r="T53" s="1"/>
      <c r="U53" s="1"/>
      <c r="V53" s="1"/>
      <c r="W53" s="1"/>
      <c r="X53" s="1"/>
    </row>
    <row r="54" customFormat="false" ht="15.75" hidden="false" customHeight="true" outlineLevel="0" collapsed="false">
      <c r="A54" s="98"/>
      <c r="B54" s="98"/>
      <c r="C54" s="99"/>
      <c r="D54" s="101"/>
      <c r="E54" s="101"/>
      <c r="F54" s="117"/>
      <c r="G54" s="101"/>
      <c r="H54" s="101"/>
      <c r="I54" s="113"/>
      <c r="J54" s="121"/>
      <c r="K54" s="101"/>
      <c r="L54" s="101"/>
      <c r="M54" s="118"/>
      <c r="N54" s="120"/>
      <c r="O54" s="1"/>
      <c r="P54" s="8"/>
      <c r="Q54" s="1"/>
      <c r="R54" s="1"/>
      <c r="S54" s="1"/>
      <c r="T54" s="1"/>
      <c r="U54" s="1"/>
      <c r="V54" s="1"/>
      <c r="W54" s="1"/>
      <c r="X54" s="1"/>
    </row>
    <row r="55" customFormat="false" ht="15.75" hidden="false" customHeight="true" outlineLevel="0" collapsed="false">
      <c r="A55" s="98"/>
      <c r="B55" s="98"/>
      <c r="C55" s="99"/>
      <c r="D55" s="101"/>
      <c r="E55" s="101"/>
      <c r="F55" s="117"/>
      <c r="G55" s="101"/>
      <c r="H55" s="101"/>
      <c r="I55" s="100"/>
      <c r="J55" s="122"/>
      <c r="K55" s="101"/>
      <c r="L55" s="101"/>
      <c r="M55" s="118"/>
      <c r="N55" s="120"/>
      <c r="O55" s="1"/>
      <c r="P55" s="8"/>
      <c r="Q55" s="1"/>
      <c r="R55" s="1"/>
      <c r="S55" s="1"/>
      <c r="T55" s="1"/>
      <c r="U55" s="1"/>
      <c r="V55" s="1"/>
      <c r="W55" s="1"/>
      <c r="X55" s="1"/>
    </row>
    <row r="56" customFormat="false" ht="15.75" hidden="false" customHeight="true" outlineLevel="0" collapsed="false">
      <c r="A56" s="98"/>
      <c r="B56" s="98"/>
      <c r="C56" s="99"/>
      <c r="D56" s="101"/>
      <c r="E56" s="101"/>
      <c r="F56" s="117"/>
      <c r="G56" s="101"/>
      <c r="H56" s="101"/>
      <c r="I56" s="100"/>
      <c r="J56" s="122"/>
      <c r="K56" s="101"/>
      <c r="L56" s="101"/>
      <c r="M56" s="118"/>
      <c r="N56" s="120"/>
      <c r="O56" s="1"/>
      <c r="P56" s="8"/>
      <c r="Q56" s="1"/>
      <c r="R56" s="1"/>
      <c r="S56" s="1"/>
      <c r="T56" s="1"/>
      <c r="U56" s="1"/>
      <c r="V56" s="1"/>
      <c r="W56" s="1"/>
      <c r="X56" s="1"/>
    </row>
    <row r="57" customFormat="false" ht="15.75" hidden="false" customHeight="true" outlineLevel="0" collapsed="false">
      <c r="A57" s="98"/>
      <c r="B57" s="98"/>
      <c r="C57" s="99"/>
      <c r="D57" s="101"/>
      <c r="E57" s="101"/>
      <c r="F57" s="117"/>
      <c r="G57" s="101"/>
      <c r="H57" s="101"/>
      <c r="I57" s="100"/>
      <c r="J57" s="122"/>
      <c r="K57" s="101"/>
      <c r="L57" s="101"/>
      <c r="M57" s="118"/>
      <c r="N57" s="120"/>
      <c r="O57" s="1"/>
      <c r="P57" s="8"/>
      <c r="Q57" s="1"/>
      <c r="R57" s="1"/>
      <c r="S57" s="1"/>
      <c r="T57" s="1"/>
      <c r="U57" s="1"/>
      <c r="V57" s="1"/>
      <c r="W57" s="1"/>
      <c r="X57" s="1"/>
    </row>
    <row r="58" customFormat="false" ht="15.75" hidden="false" customHeight="true" outlineLevel="0" collapsed="false">
      <c r="A58" s="98"/>
      <c r="B58" s="98"/>
      <c r="C58" s="99"/>
      <c r="D58" s="101"/>
      <c r="E58" s="101"/>
      <c r="F58" s="117"/>
      <c r="G58" s="101"/>
      <c r="H58" s="101"/>
      <c r="I58" s="100"/>
      <c r="J58" s="122"/>
      <c r="K58" s="101"/>
      <c r="L58" s="101"/>
      <c r="M58" s="118"/>
      <c r="N58" s="120"/>
      <c r="O58" s="1"/>
      <c r="P58" s="8"/>
      <c r="Q58" s="1"/>
      <c r="R58" s="1"/>
      <c r="S58" s="1"/>
      <c r="T58" s="1"/>
      <c r="U58" s="1"/>
      <c r="V58" s="1"/>
      <c r="W58" s="1"/>
      <c r="X58" s="1"/>
    </row>
    <row r="59" customFormat="false" ht="15.75" hidden="false" customHeight="true" outlineLevel="0" collapsed="false">
      <c r="A59" s="98"/>
      <c r="B59" s="98"/>
      <c r="C59" s="99"/>
      <c r="D59" s="123" t="n">
        <f aca="false">SUM(D40:D58)</f>
        <v>0</v>
      </c>
      <c r="E59" s="123" t="n">
        <f aca="false">SUM(E40:E58)</f>
        <v>0</v>
      </c>
      <c r="F59" s="117"/>
      <c r="G59" s="123" t="n">
        <f aca="false">SUM(G40:G58)</f>
        <v>0</v>
      </c>
      <c r="H59" s="123" t="n">
        <f aca="false">SUM(H40:H58)</f>
        <v>0</v>
      </c>
      <c r="I59" s="100"/>
      <c r="J59" s="100"/>
      <c r="K59" s="101" t="n">
        <f aca="false">SUM(K40:K58)</f>
        <v>0</v>
      </c>
      <c r="L59" s="101" t="n">
        <f aca="false">SUM(L40:L58)</f>
        <v>0</v>
      </c>
      <c r="M59" s="100"/>
      <c r="N59" s="100"/>
      <c r="O59" s="1"/>
      <c r="P59" s="8"/>
      <c r="Q59" s="1"/>
      <c r="R59" s="1"/>
      <c r="S59" s="1"/>
      <c r="T59" s="1"/>
      <c r="U59" s="1"/>
      <c r="V59" s="1"/>
      <c r="W59" s="1"/>
      <c r="X59" s="1"/>
    </row>
    <row r="60" customFormat="false" ht="15.75" hidden="false" customHeight="true" outlineLevel="0" collapsed="false">
      <c r="A60" s="1"/>
      <c r="B60" s="1"/>
      <c r="C60" s="1"/>
      <c r="D60" s="1"/>
      <c r="E60" s="1"/>
      <c r="F60" s="8"/>
      <c r="G60" s="8"/>
      <c r="H60" s="1"/>
      <c r="I60" s="2"/>
      <c r="J60" s="1"/>
      <c r="K60" s="83"/>
      <c r="L60" s="83"/>
      <c r="M60" s="124"/>
      <c r="N60" s="124"/>
      <c r="O60" s="1"/>
      <c r="P60" s="8"/>
      <c r="Q60" s="1"/>
      <c r="R60" s="1"/>
      <c r="S60" s="1"/>
      <c r="T60" s="1"/>
      <c r="U60" s="1"/>
      <c r="V60" s="1"/>
      <c r="W60" s="1"/>
      <c r="X60" s="1"/>
    </row>
    <row r="61" customFormat="false" ht="15.75" hidden="false" customHeight="true" outlineLevel="0" collapsed="false">
      <c r="A61" s="1"/>
      <c r="B61" s="1"/>
      <c r="C61" s="1"/>
      <c r="D61" s="1"/>
      <c r="E61" s="1"/>
      <c r="F61" s="8"/>
      <c r="G61" s="8"/>
      <c r="H61" s="1"/>
      <c r="I61" s="2"/>
      <c r="J61" s="1"/>
      <c r="K61" s="83"/>
      <c r="L61" s="83"/>
      <c r="M61" s="124"/>
      <c r="N61" s="124"/>
      <c r="O61" s="1"/>
      <c r="P61" s="8"/>
      <c r="Q61" s="1"/>
      <c r="R61" s="1"/>
      <c r="S61" s="1"/>
      <c r="T61" s="1"/>
      <c r="U61" s="1"/>
      <c r="V61" s="1"/>
      <c r="W61" s="1"/>
      <c r="X61" s="1"/>
    </row>
    <row r="62" customFormat="false" ht="15.75" hidden="false" customHeight="true" outlineLevel="0" collapsed="false">
      <c r="A62" s="1"/>
      <c r="B62" s="1"/>
      <c r="C62" s="1"/>
      <c r="D62" s="1"/>
      <c r="E62" s="1"/>
      <c r="F62" s="8"/>
      <c r="G62" s="8"/>
      <c r="H62" s="1"/>
      <c r="I62" s="2"/>
      <c r="J62" s="1"/>
      <c r="K62" s="83"/>
      <c r="L62" s="83"/>
      <c r="M62" s="124"/>
      <c r="N62" s="124"/>
      <c r="O62" s="1"/>
      <c r="P62" s="8"/>
      <c r="Q62" s="1"/>
      <c r="R62" s="1"/>
      <c r="S62" s="1"/>
      <c r="T62" s="1"/>
      <c r="U62" s="1"/>
      <c r="V62" s="1"/>
      <c r="W62" s="1"/>
      <c r="X62" s="1"/>
    </row>
    <row r="63" customFormat="false" ht="15.75" hidden="false" customHeight="true" outlineLevel="0" collapsed="false">
      <c r="A63" s="1"/>
      <c r="B63" s="1"/>
      <c r="C63" s="1"/>
      <c r="D63" s="1"/>
      <c r="E63" s="1"/>
      <c r="F63" s="8"/>
      <c r="G63" s="8"/>
      <c r="H63" s="1"/>
      <c r="I63" s="2"/>
      <c r="J63" s="1"/>
      <c r="K63" s="125"/>
      <c r="L63" s="125"/>
      <c r="M63" s="124"/>
      <c r="N63" s="124"/>
      <c r="O63" s="1"/>
      <c r="P63" s="8"/>
      <c r="Q63" s="1"/>
      <c r="R63" s="1"/>
      <c r="S63" s="1"/>
      <c r="T63" s="1"/>
      <c r="U63" s="1"/>
      <c r="V63" s="1"/>
      <c r="W63" s="1"/>
      <c r="X63" s="1"/>
    </row>
    <row r="64" customFormat="false" ht="15.75" hidden="false" customHeight="true" outlineLevel="0" collapsed="false">
      <c r="A64" s="1"/>
      <c r="B64" s="1"/>
      <c r="C64" s="1"/>
      <c r="D64" s="1"/>
      <c r="E64" s="1"/>
      <c r="F64" s="8"/>
      <c r="G64" s="8"/>
      <c r="H64" s="1"/>
      <c r="I64" s="2"/>
      <c r="J64" s="1"/>
      <c r="K64" s="2"/>
      <c r="L64" s="1"/>
      <c r="M64" s="1"/>
      <c r="N64" s="1"/>
      <c r="O64" s="1"/>
      <c r="P64" s="8"/>
      <c r="Q64" s="1"/>
      <c r="R64" s="1"/>
      <c r="S64" s="1"/>
      <c r="T64" s="1"/>
      <c r="U64" s="1"/>
      <c r="V64" s="1"/>
      <c r="W64" s="1"/>
      <c r="X64" s="1"/>
    </row>
    <row r="65" customFormat="false" ht="15.75" hidden="false" customHeight="true" outlineLevel="0" collapsed="false">
      <c r="A65" s="1"/>
      <c r="B65" s="1"/>
      <c r="C65" s="1"/>
      <c r="D65" s="1"/>
      <c r="E65" s="1"/>
      <c r="F65" s="8"/>
      <c r="G65" s="8"/>
      <c r="H65" s="1"/>
      <c r="I65" s="2"/>
      <c r="J65" s="1"/>
      <c r="K65" s="2"/>
      <c r="L65" s="1"/>
      <c r="M65" s="1"/>
      <c r="N65" s="1"/>
      <c r="O65" s="1"/>
      <c r="P65" s="8"/>
      <c r="Q65" s="1"/>
      <c r="R65" s="1"/>
      <c r="S65" s="1"/>
      <c r="T65" s="1"/>
      <c r="U65" s="1"/>
      <c r="V65" s="1"/>
      <c r="W65" s="1"/>
      <c r="X65" s="1"/>
    </row>
    <row r="66" customFormat="false" ht="15.75" hidden="false" customHeight="true" outlineLevel="0" collapsed="false">
      <c r="A66" s="1"/>
      <c r="B66" s="1"/>
      <c r="C66" s="1"/>
      <c r="D66" s="1"/>
      <c r="E66" s="1"/>
      <c r="F66" s="8"/>
      <c r="G66" s="8"/>
      <c r="H66" s="1"/>
      <c r="I66" s="2"/>
      <c r="J66" s="1"/>
      <c r="K66" s="2"/>
      <c r="L66" s="1"/>
      <c r="M66" s="1"/>
      <c r="N66" s="1"/>
      <c r="O66" s="1"/>
      <c r="P66" s="8"/>
      <c r="Q66" s="1"/>
      <c r="R66" s="1"/>
      <c r="S66" s="1"/>
      <c r="T66" s="1"/>
      <c r="U66" s="1"/>
      <c r="V66" s="1"/>
      <c r="W66" s="1"/>
      <c r="X66" s="1"/>
    </row>
    <row r="67" customFormat="false" ht="15.75" hidden="false" customHeight="true" outlineLevel="0" collapsed="false">
      <c r="A67" s="1"/>
      <c r="B67" s="1"/>
      <c r="C67" s="1"/>
      <c r="D67" s="1"/>
      <c r="E67" s="1"/>
      <c r="F67" s="8"/>
      <c r="G67" s="8"/>
      <c r="H67" s="1"/>
      <c r="I67" s="2"/>
      <c r="J67" s="1"/>
      <c r="K67" s="2"/>
      <c r="L67" s="1"/>
      <c r="M67" s="1"/>
      <c r="N67" s="1"/>
      <c r="O67" s="1"/>
      <c r="P67" s="8"/>
      <c r="Q67" s="1"/>
      <c r="R67" s="1"/>
      <c r="S67" s="1"/>
      <c r="T67" s="1"/>
      <c r="U67" s="1"/>
      <c r="V67" s="1"/>
      <c r="W67" s="1"/>
      <c r="X67" s="1"/>
    </row>
    <row r="68" customFormat="false" ht="15.75" hidden="false" customHeight="true" outlineLevel="0" collapsed="false">
      <c r="A68" s="1"/>
      <c r="B68" s="1"/>
      <c r="C68" s="1"/>
      <c r="D68" s="1"/>
      <c r="E68" s="1"/>
      <c r="F68" s="8"/>
      <c r="G68" s="8"/>
      <c r="H68" s="1"/>
      <c r="I68" s="2"/>
      <c r="J68" s="1"/>
      <c r="K68" s="2"/>
      <c r="L68" s="1"/>
      <c r="M68" s="1"/>
      <c r="N68" s="1"/>
      <c r="O68" s="1"/>
      <c r="P68" s="8"/>
      <c r="Q68" s="1"/>
      <c r="R68" s="1"/>
      <c r="S68" s="1"/>
      <c r="T68" s="1"/>
      <c r="U68" s="1"/>
      <c r="V68" s="1"/>
      <c r="W68" s="1"/>
      <c r="X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8"/>
      <c r="G69" s="8"/>
      <c r="H69" s="1"/>
      <c r="I69" s="2"/>
      <c r="J69" s="1"/>
      <c r="K69" s="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customFormat="false" ht="15.75" hidden="false" customHeight="true" outlineLevel="0" collapsed="false">
      <c r="A70" s="1"/>
      <c r="B70" s="1"/>
      <c r="C70" s="1"/>
      <c r="D70" s="1"/>
      <c r="E70" s="1"/>
      <c r="F70" s="8"/>
      <c r="G70" s="8"/>
      <c r="H70" s="1"/>
      <c r="I70" s="2"/>
      <c r="J70" s="1"/>
      <c r="K70" s="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customFormat="false" ht="15.75" hidden="false" customHeight="true" outlineLevel="0" collapsed="false">
      <c r="A71" s="1"/>
      <c r="B71" s="1"/>
      <c r="C71" s="1"/>
      <c r="D71" s="1"/>
      <c r="E71" s="1"/>
      <c r="F71" s="8"/>
      <c r="G71" s="8"/>
      <c r="H71" s="1"/>
      <c r="I71" s="2"/>
      <c r="J71" s="1"/>
      <c r="K71" s="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customFormat="false" ht="15.75" hidden="false" customHeight="true" outlineLevel="0" collapsed="false">
      <c r="A72" s="1"/>
      <c r="B72" s="1"/>
      <c r="C72" s="1"/>
      <c r="D72" s="1"/>
      <c r="E72" s="1"/>
      <c r="F72" s="8"/>
      <c r="G72" s="8"/>
      <c r="H72" s="1"/>
      <c r="I72" s="2"/>
      <c r="J72" s="1"/>
      <c r="K72" s="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customFormat="false" ht="15.75" hidden="false" customHeight="true" outlineLevel="0" collapsed="false">
      <c r="A73" s="1"/>
      <c r="B73" s="1"/>
      <c r="C73" s="1"/>
      <c r="D73" s="1"/>
      <c r="E73" s="1"/>
      <c r="F73" s="8"/>
      <c r="G73" s="8"/>
      <c r="H73" s="1"/>
      <c r="I73" s="2"/>
      <c r="J73" s="1"/>
      <c r="K73" s="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customFormat="false" ht="15.75" hidden="false" customHeight="true" outlineLevel="0" collapsed="false">
      <c r="A74" s="1"/>
      <c r="B74" s="1"/>
      <c r="C74" s="1"/>
      <c r="D74" s="1"/>
      <c r="E74" s="1"/>
      <c r="F74" s="8"/>
      <c r="G74" s="8"/>
      <c r="H74" s="1"/>
      <c r="I74" s="2"/>
      <c r="J74" s="1"/>
      <c r="K74" s="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customFormat="false" ht="15.75" hidden="false" customHeight="true" outlineLevel="0" collapsed="false">
      <c r="A75" s="1"/>
      <c r="B75" s="1"/>
      <c r="C75" s="1"/>
      <c r="D75" s="1"/>
      <c r="E75" s="1"/>
      <c r="F75" s="8"/>
      <c r="G75" s="8"/>
      <c r="H75" s="1"/>
      <c r="I75" s="2"/>
      <c r="J75" s="1"/>
      <c r="K75" s="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customFormat="false" ht="15.75" hidden="false" customHeight="true" outlineLevel="0" collapsed="false">
      <c r="A76" s="1"/>
      <c r="B76" s="1"/>
      <c r="C76" s="1"/>
      <c r="D76" s="1"/>
      <c r="E76" s="1"/>
      <c r="F76" s="8"/>
      <c r="G76" s="8"/>
      <c r="H76" s="1"/>
      <c r="I76" s="2"/>
      <c r="J76" s="1"/>
      <c r="K76" s="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2"/>
      <c r="J77" s="1"/>
      <c r="K77" s="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2"/>
      <c r="J78" s="1"/>
      <c r="K78" s="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2"/>
      <c r="J79" s="1"/>
      <c r="K79" s="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2"/>
      <c r="J80" s="1"/>
      <c r="K80" s="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2"/>
      <c r="J81" s="1"/>
      <c r="K81" s="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2"/>
      <c r="J82" s="1"/>
      <c r="K82" s="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2"/>
      <c r="J83" s="1"/>
      <c r="K83" s="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2"/>
      <c r="J84" s="1"/>
      <c r="K84" s="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2"/>
      <c r="J85" s="1"/>
      <c r="K85" s="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2"/>
      <c r="J86" s="1"/>
      <c r="K86" s="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2"/>
      <c r="J87" s="1"/>
      <c r="K87" s="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2"/>
      <c r="J88" s="1"/>
      <c r="K88" s="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2"/>
      <c r="J89" s="1"/>
      <c r="K89" s="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2"/>
      <c r="J90" s="1"/>
      <c r="K90" s="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2"/>
      <c r="J91" s="1"/>
      <c r="K91" s="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2"/>
      <c r="J92" s="1"/>
      <c r="K92" s="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2"/>
      <c r="J93" s="1"/>
      <c r="K93" s="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2"/>
      <c r="J94" s="1"/>
      <c r="K94" s="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2"/>
      <c r="J95" s="1"/>
      <c r="K95" s="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2"/>
      <c r="J96" s="1"/>
      <c r="K96" s="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2"/>
      <c r="J97" s="1"/>
      <c r="K97" s="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2"/>
      <c r="J98" s="1"/>
      <c r="K98" s="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2"/>
      <c r="J99" s="1"/>
      <c r="K99" s="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2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2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2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2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2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2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2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2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2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2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2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2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2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2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2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2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2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2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2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2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2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2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2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2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2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2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2"/>
      <c r="L252" s="1"/>
      <c r="M252" s="1"/>
      <c r="N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2"/>
      <c r="L253" s="1"/>
      <c r="M253" s="1"/>
      <c r="N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2"/>
      <c r="L254" s="1"/>
      <c r="M254" s="1"/>
      <c r="N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2"/>
      <c r="L255" s="1"/>
      <c r="M255" s="1"/>
      <c r="N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2"/>
      <c r="L256" s="1"/>
      <c r="M256" s="1"/>
      <c r="N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2"/>
      <c r="L257" s="1"/>
      <c r="M257" s="1"/>
      <c r="N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2"/>
      <c r="L258" s="1"/>
      <c r="M258" s="1"/>
      <c r="N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2"/>
      <c r="L259" s="1"/>
      <c r="M259" s="1"/>
      <c r="N259" s="1"/>
    </row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A2"/>
  <mergeCells count="34">
    <mergeCell ref="F2:F3"/>
    <mergeCell ref="H2:J2"/>
    <mergeCell ref="L2:O2"/>
    <mergeCell ref="Q2:S2"/>
    <mergeCell ref="U2:X2"/>
    <mergeCell ref="D3:E3"/>
    <mergeCell ref="B23:D27"/>
    <mergeCell ref="H23:J23"/>
    <mergeCell ref="L23:O23"/>
    <mergeCell ref="Q23:S23"/>
    <mergeCell ref="U23:X23"/>
    <mergeCell ref="B28:D32"/>
    <mergeCell ref="A34:C34"/>
    <mergeCell ref="A36:B36"/>
    <mergeCell ref="A39:B59"/>
    <mergeCell ref="C39:C5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I49:J49"/>
    <mergeCell ref="M49:N49"/>
    <mergeCell ref="I50:J50"/>
    <mergeCell ref="I59:J59"/>
    <mergeCell ref="M59:N59"/>
    <mergeCell ref="M60:N60"/>
    <mergeCell ref="M61:N61"/>
    <mergeCell ref="M62:N62"/>
    <mergeCell ref="M63:N6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4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sheetData>
    <row r="1" customFormat="false" ht="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  <c r="J1" s="1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15.75" hidden="true" customHeight="true" outlineLevel="0" collapsed="false">
      <c r="A2" s="3" t="s">
        <v>1</v>
      </c>
      <c r="B2" s="4"/>
      <c r="C2" s="5"/>
      <c r="D2" s="5" t="s">
        <v>2</v>
      </c>
      <c r="E2" s="6"/>
      <c r="F2" s="7" t="s">
        <v>3</v>
      </c>
      <c r="G2" s="8"/>
      <c r="H2" s="9" t="s">
        <v>4</v>
      </c>
      <c r="I2" s="9"/>
      <c r="J2" s="9"/>
      <c r="K2" s="10"/>
      <c r="L2" s="11" t="s">
        <v>5</v>
      </c>
      <c r="M2" s="11"/>
      <c r="N2" s="11"/>
      <c r="O2" s="11"/>
      <c r="P2" s="12"/>
      <c r="Q2" s="13" t="s">
        <v>6</v>
      </c>
      <c r="R2" s="13"/>
      <c r="S2" s="13"/>
      <c r="T2" s="14"/>
      <c r="U2" s="15" t="s">
        <v>5</v>
      </c>
      <c r="V2" s="15"/>
      <c r="W2" s="15"/>
      <c r="X2" s="15"/>
    </row>
    <row r="3" customFormat="false" ht="15.75" hidden="false" customHeight="true" outlineLevel="0" collapsed="false">
      <c r="A3" s="16"/>
      <c r="B3" s="17"/>
      <c r="C3" s="18"/>
      <c r="D3" s="19" t="s">
        <v>7</v>
      </c>
      <c r="E3" s="19"/>
      <c r="F3" s="7"/>
      <c r="G3" s="8"/>
      <c r="H3" s="20"/>
      <c r="I3" s="21"/>
      <c r="J3" s="22"/>
      <c r="K3" s="23"/>
      <c r="L3" s="12"/>
      <c r="M3" s="24"/>
      <c r="N3" s="24"/>
      <c r="O3" s="25"/>
      <c r="P3" s="12"/>
      <c r="Q3" s="20"/>
      <c r="R3" s="22"/>
      <c r="S3" s="22"/>
      <c r="T3" s="12"/>
      <c r="U3" s="12"/>
      <c r="V3" s="24"/>
      <c r="W3" s="24"/>
      <c r="X3" s="25"/>
    </row>
    <row r="4" customFormat="false" ht="15.75" hidden="false" customHeight="true" outlineLevel="0" collapsed="false">
      <c r="A4" s="26" t="s">
        <v>8</v>
      </c>
      <c r="B4" s="27"/>
      <c r="C4" s="28"/>
      <c r="D4" s="28"/>
      <c r="E4" s="29"/>
      <c r="F4" s="30" t="n">
        <f aca="false">SUM(B4:E4)</f>
        <v>0</v>
      </c>
      <c r="G4" s="8"/>
      <c r="H4" s="31" t="s">
        <v>9</v>
      </c>
      <c r="I4" s="32" t="s">
        <v>10</v>
      </c>
      <c r="J4" s="33" t="s">
        <v>11</v>
      </c>
      <c r="K4" s="32" t="s">
        <v>12</v>
      </c>
      <c r="L4" s="34" t="s">
        <v>13</v>
      </c>
      <c r="M4" s="34" t="s">
        <v>14</v>
      </c>
      <c r="N4" s="34" t="s">
        <v>15</v>
      </c>
      <c r="O4" s="35" t="s">
        <v>16</v>
      </c>
      <c r="P4" s="12"/>
      <c r="Q4" s="31" t="s">
        <v>9</v>
      </c>
      <c r="R4" s="32" t="s">
        <v>10</v>
      </c>
      <c r="S4" s="33" t="s">
        <v>11</v>
      </c>
      <c r="T4" s="32" t="s">
        <v>12</v>
      </c>
      <c r="U4" s="34" t="s">
        <v>13</v>
      </c>
      <c r="V4" s="34" t="s">
        <v>14</v>
      </c>
      <c r="W4" s="34" t="s">
        <v>15</v>
      </c>
      <c r="X4" s="89" t="s">
        <v>16</v>
      </c>
    </row>
    <row r="5" customFormat="false" ht="15.75" hidden="false" customHeight="true" outlineLevel="0" collapsed="false">
      <c r="A5" s="36"/>
      <c r="B5" s="37" t="n">
        <v>1026</v>
      </c>
      <c r="C5" s="38" t="n">
        <v>7486</v>
      </c>
      <c r="D5" s="39" t="n">
        <v>1700</v>
      </c>
      <c r="E5" s="37" t="n">
        <v>41085</v>
      </c>
      <c r="F5" s="40" t="n">
        <v>353</v>
      </c>
      <c r="G5" s="8"/>
      <c r="H5" s="41" t="s">
        <v>41</v>
      </c>
      <c r="I5" s="42" t="s">
        <v>42</v>
      </c>
      <c r="J5" s="43" t="n">
        <v>500</v>
      </c>
      <c r="K5" s="44" t="n">
        <f aca="false">SUM(J5*90/100)</f>
        <v>450</v>
      </c>
      <c r="L5" s="45" t="n">
        <v>24</v>
      </c>
      <c r="M5" s="44" t="n">
        <f aca="false">K5-L5</f>
        <v>426</v>
      </c>
      <c r="N5" s="46" t="s">
        <v>43</v>
      </c>
      <c r="O5" s="47" t="s">
        <v>44</v>
      </c>
      <c r="P5" s="12"/>
      <c r="Q5" s="41" t="s">
        <v>45</v>
      </c>
      <c r="R5" s="42" t="s">
        <v>46</v>
      </c>
      <c r="S5" s="43" t="n">
        <v>600</v>
      </c>
      <c r="T5" s="48" t="n">
        <f aca="false">SUM(S5*90/100)</f>
        <v>540</v>
      </c>
      <c r="U5" s="45" t="n">
        <v>5</v>
      </c>
      <c r="V5" s="48" t="n">
        <f aca="false">T5-U5</f>
        <v>535</v>
      </c>
      <c r="W5" s="46" t="s">
        <v>47</v>
      </c>
      <c r="X5" s="47" t="s">
        <v>48</v>
      </c>
    </row>
    <row r="6" customFormat="false" ht="15.75" hidden="false" customHeight="true" outlineLevel="0" collapsed="false">
      <c r="A6" s="49"/>
      <c r="B6" s="50" t="n">
        <v>3745</v>
      </c>
      <c r="C6" s="51" t="n">
        <v>1544</v>
      </c>
      <c r="D6" s="51" t="n">
        <v>3634</v>
      </c>
      <c r="E6" s="50" t="n">
        <v>1564</v>
      </c>
      <c r="F6" s="52" t="n">
        <v>300</v>
      </c>
      <c r="G6" s="8"/>
      <c r="H6" s="41" t="n">
        <v>23246</v>
      </c>
      <c r="I6" s="42" t="s">
        <v>49</v>
      </c>
      <c r="J6" s="43" t="n">
        <v>700</v>
      </c>
      <c r="K6" s="44" t="n">
        <f aca="false">SUM(J6*90/100)</f>
        <v>630</v>
      </c>
      <c r="L6" s="45" t="n">
        <v>5</v>
      </c>
      <c r="M6" s="44" t="n">
        <f aca="false">K6-L6</f>
        <v>625</v>
      </c>
      <c r="N6" s="46" t="s">
        <v>50</v>
      </c>
      <c r="O6" s="47" t="s">
        <v>51</v>
      </c>
      <c r="P6" s="12"/>
      <c r="Q6" s="41" t="n">
        <v>23377</v>
      </c>
      <c r="R6" s="42" t="s">
        <v>52</v>
      </c>
      <c r="S6" s="43" t="n">
        <v>100</v>
      </c>
      <c r="T6" s="48" t="n">
        <f aca="false">SUM(S6*90/100)</f>
        <v>90</v>
      </c>
      <c r="U6" s="45" t="n">
        <v>5</v>
      </c>
      <c r="V6" s="48" t="n">
        <f aca="false">T6-U6</f>
        <v>85</v>
      </c>
      <c r="W6" s="46" t="s">
        <v>47</v>
      </c>
      <c r="X6" s="47" t="s">
        <v>48</v>
      </c>
    </row>
    <row r="7" customFormat="false" ht="15.75" hidden="false" customHeight="true" outlineLevel="0" collapsed="false">
      <c r="A7" s="53" t="s">
        <v>17</v>
      </c>
      <c r="B7" s="54" t="n">
        <f aca="false">C39</f>
        <v>5683</v>
      </c>
      <c r="C7" s="55" t="n">
        <v>100</v>
      </c>
      <c r="D7" s="56" t="s">
        <v>18</v>
      </c>
      <c r="E7" s="57" t="n">
        <v>0</v>
      </c>
      <c r="F7" s="58" t="n">
        <f aca="false">SUM(A5:F6)</f>
        <v>62437</v>
      </c>
      <c r="G7" s="8"/>
      <c r="H7" s="126" t="s">
        <v>53</v>
      </c>
      <c r="I7" s="42" t="s">
        <v>54</v>
      </c>
      <c r="J7" s="43" t="n">
        <v>300</v>
      </c>
      <c r="K7" s="44" t="n">
        <f aca="false">SUM(J7*90/100)</f>
        <v>270</v>
      </c>
      <c r="L7" s="45" t="n">
        <v>5</v>
      </c>
      <c r="M7" s="44" t="n">
        <f aca="false">K7-L7</f>
        <v>265</v>
      </c>
      <c r="N7" s="46" t="s">
        <v>50</v>
      </c>
      <c r="O7" s="47" t="s">
        <v>51</v>
      </c>
      <c r="P7" s="12"/>
      <c r="Q7" s="41" t="n">
        <v>22285</v>
      </c>
      <c r="R7" s="42" t="s">
        <v>55</v>
      </c>
      <c r="S7" s="43" t="n">
        <v>300</v>
      </c>
      <c r="T7" s="48" t="n">
        <f aca="false">SUM(S7*90/100)</f>
        <v>270</v>
      </c>
      <c r="U7" s="45" t="n">
        <v>5</v>
      </c>
      <c r="V7" s="48" t="n">
        <f aca="false">T7-U7</f>
        <v>265</v>
      </c>
      <c r="W7" s="46" t="s">
        <v>47</v>
      </c>
      <c r="X7" s="47" t="s">
        <v>48</v>
      </c>
    </row>
    <row r="8" customFormat="false" ht="15.75" hidden="false" customHeight="true" outlineLevel="0" collapsed="false">
      <c r="A8" s="16" t="s">
        <v>19</v>
      </c>
      <c r="B8" s="57"/>
      <c r="C8" s="55" t="n">
        <v>50</v>
      </c>
      <c r="D8" s="56" t="s">
        <v>18</v>
      </c>
      <c r="E8" s="37" t="n">
        <v>9050</v>
      </c>
      <c r="F8" s="40"/>
      <c r="G8" s="8"/>
      <c r="H8" s="41"/>
      <c r="I8" s="42"/>
      <c r="J8" s="43"/>
      <c r="K8" s="44" t="n">
        <f aca="false">SUM(J8*90/100)</f>
        <v>0</v>
      </c>
      <c r="L8" s="45"/>
      <c r="M8" s="44" t="n">
        <f aca="false">K8-L8</f>
        <v>0</v>
      </c>
      <c r="N8" s="46"/>
      <c r="O8" s="47"/>
      <c r="P8" s="12"/>
      <c r="Q8" s="41" t="n">
        <v>23372</v>
      </c>
      <c r="R8" s="42" t="s">
        <v>56</v>
      </c>
      <c r="S8" s="43" t="n">
        <v>700</v>
      </c>
      <c r="T8" s="48" t="n">
        <f aca="false">SUM(S8*90/100)</f>
        <v>630</v>
      </c>
      <c r="U8" s="45" t="n">
        <v>5</v>
      </c>
      <c r="V8" s="48" t="n">
        <f aca="false">T8-U8</f>
        <v>625</v>
      </c>
      <c r="W8" s="46" t="s">
        <v>47</v>
      </c>
      <c r="X8" s="47" t="s">
        <v>48</v>
      </c>
    </row>
    <row r="9" customFormat="false" ht="15.75" hidden="false" customHeight="true" outlineLevel="0" collapsed="false">
      <c r="A9" s="59" t="s">
        <v>57</v>
      </c>
      <c r="B9" s="57" t="n">
        <v>45</v>
      </c>
      <c r="C9" s="55" t="n">
        <v>10</v>
      </c>
      <c r="D9" s="56" t="s">
        <v>18</v>
      </c>
      <c r="E9" s="50" t="n">
        <v>260</v>
      </c>
      <c r="F9" s="40"/>
      <c r="G9" s="8"/>
      <c r="H9" s="41"/>
      <c r="I9" s="42"/>
      <c r="J9" s="43"/>
      <c r="K9" s="44" t="n">
        <f aca="false">SUM(J9*90/100)</f>
        <v>0</v>
      </c>
      <c r="L9" s="45"/>
      <c r="M9" s="44" t="n">
        <f aca="false">K9-L9</f>
        <v>0</v>
      </c>
      <c r="N9" s="46"/>
      <c r="O9" s="47"/>
      <c r="P9" s="12"/>
      <c r="Q9" s="41" t="s">
        <v>58</v>
      </c>
      <c r="R9" s="42" t="s">
        <v>59</v>
      </c>
      <c r="S9" s="43" t="n">
        <v>1700</v>
      </c>
      <c r="T9" s="48" t="n">
        <f aca="false">SUM(S9*90/100)</f>
        <v>1530</v>
      </c>
      <c r="U9" s="45" t="n">
        <v>5</v>
      </c>
      <c r="V9" s="48" t="n">
        <f aca="false">T9-U9</f>
        <v>1525</v>
      </c>
      <c r="W9" s="46" t="s">
        <v>47</v>
      </c>
      <c r="X9" s="47" t="s">
        <v>48</v>
      </c>
    </row>
    <row r="10" customFormat="false" ht="15.75" hidden="false" customHeight="true" outlineLevel="0" collapsed="false">
      <c r="A10" s="59" t="s">
        <v>60</v>
      </c>
      <c r="B10" s="57" t="n">
        <v>20000</v>
      </c>
      <c r="C10" s="55" t="n">
        <v>5</v>
      </c>
      <c r="D10" s="18" t="s">
        <v>18</v>
      </c>
      <c r="E10" s="50" t="n">
        <v>80</v>
      </c>
      <c r="F10" s="40"/>
      <c r="G10" s="8"/>
      <c r="H10" s="41"/>
      <c r="I10" s="42"/>
      <c r="J10" s="43"/>
      <c r="K10" s="44" t="n">
        <f aca="false">SUM(J10*90/100)</f>
        <v>0</v>
      </c>
      <c r="L10" s="45"/>
      <c r="M10" s="44" t="n">
        <f aca="false">K10-L10</f>
        <v>0</v>
      </c>
      <c r="N10" s="46"/>
      <c r="O10" s="47"/>
      <c r="P10" s="12"/>
      <c r="Q10" s="41" t="n">
        <v>23294</v>
      </c>
      <c r="R10" s="42" t="s">
        <v>61</v>
      </c>
      <c r="S10" s="43" t="n">
        <v>800</v>
      </c>
      <c r="T10" s="48" t="n">
        <f aca="false">SUM(S10*90/100)</f>
        <v>720</v>
      </c>
      <c r="U10" s="45" t="n">
        <v>5</v>
      </c>
      <c r="V10" s="48" t="n">
        <f aca="false">T10-U10</f>
        <v>715</v>
      </c>
      <c r="W10" s="46" t="s">
        <v>47</v>
      </c>
      <c r="X10" s="47" t="s">
        <v>48</v>
      </c>
    </row>
    <row r="11" customFormat="false" ht="15.75" hidden="false" customHeight="true" outlineLevel="0" collapsed="false">
      <c r="A11" s="59" t="s">
        <v>62</v>
      </c>
      <c r="B11" s="57" t="n">
        <v>10</v>
      </c>
      <c r="C11" s="55" t="n">
        <v>1</v>
      </c>
      <c r="D11" s="60" t="s">
        <v>18</v>
      </c>
      <c r="E11" s="50" t="n">
        <v>102</v>
      </c>
      <c r="F11" s="40"/>
      <c r="G11" s="8"/>
      <c r="H11" s="41"/>
      <c r="I11" s="42"/>
      <c r="J11" s="43"/>
      <c r="K11" s="44" t="n">
        <f aca="false">SUM(J11*90/100)</f>
        <v>0</v>
      </c>
      <c r="L11" s="45"/>
      <c r="M11" s="44" t="n">
        <f aca="false">K11-L11</f>
        <v>0</v>
      </c>
      <c r="N11" s="46"/>
      <c r="O11" s="47"/>
      <c r="P11" s="12"/>
      <c r="Q11" s="41" t="n">
        <v>23250</v>
      </c>
      <c r="R11" s="42" t="s">
        <v>63</v>
      </c>
      <c r="S11" s="43" t="n">
        <v>1000</v>
      </c>
      <c r="T11" s="48" t="n">
        <f aca="false">SUM(S11*90/100)</f>
        <v>900</v>
      </c>
      <c r="U11" s="45" t="n">
        <v>5</v>
      </c>
      <c r="V11" s="48" t="n">
        <f aca="false">T11-U11</f>
        <v>895</v>
      </c>
      <c r="W11" s="46" t="s">
        <v>47</v>
      </c>
      <c r="X11" s="47" t="s">
        <v>48</v>
      </c>
    </row>
    <row r="12" customFormat="false" ht="15.75" hidden="false" customHeight="true" outlineLevel="0" collapsed="false">
      <c r="A12" s="59"/>
      <c r="B12" s="57"/>
      <c r="C12" s="61" t="s">
        <v>20</v>
      </c>
      <c r="D12" s="56" t="s">
        <v>18</v>
      </c>
      <c r="E12" s="62" t="n">
        <f aca="false">SUM(E7:E11)</f>
        <v>9492</v>
      </c>
      <c r="F12" s="40"/>
      <c r="G12" s="8"/>
      <c r="H12" s="41"/>
      <c r="I12" s="42"/>
      <c r="J12" s="43"/>
      <c r="K12" s="44" t="n">
        <f aca="false">SUM(J12*90/100)</f>
        <v>0</v>
      </c>
      <c r="L12" s="45"/>
      <c r="M12" s="44" t="n">
        <f aca="false">K12-L12</f>
        <v>0</v>
      </c>
      <c r="N12" s="46"/>
      <c r="O12" s="47"/>
      <c r="P12" s="12"/>
      <c r="Q12" s="41" t="n">
        <v>22350</v>
      </c>
      <c r="R12" s="42" t="s">
        <v>64</v>
      </c>
      <c r="S12" s="43" t="n">
        <v>650</v>
      </c>
      <c r="T12" s="48" t="n">
        <f aca="false">SUM(S12*90/100)</f>
        <v>585</v>
      </c>
      <c r="U12" s="45" t="n">
        <v>5</v>
      </c>
      <c r="V12" s="48" t="n">
        <f aca="false">T12-U12</f>
        <v>580</v>
      </c>
      <c r="W12" s="46" t="s">
        <v>47</v>
      </c>
      <c r="X12" s="47" t="s">
        <v>48</v>
      </c>
    </row>
    <row r="13" customFormat="false" ht="15.75" hidden="false" customHeight="true" outlineLevel="0" collapsed="false">
      <c r="A13" s="59"/>
      <c r="B13" s="17"/>
      <c r="C13" s="63"/>
      <c r="D13" s="18"/>
      <c r="E13" s="17"/>
      <c r="F13" s="40"/>
      <c r="G13" s="8"/>
      <c r="H13" s="41"/>
      <c r="I13" s="42"/>
      <c r="J13" s="43"/>
      <c r="K13" s="44" t="n">
        <f aca="false">SUM(J13*90/100)</f>
        <v>0</v>
      </c>
      <c r="L13" s="45"/>
      <c r="M13" s="44" t="n">
        <f aca="false">K13-L13</f>
        <v>0</v>
      </c>
      <c r="N13" s="46"/>
      <c r="O13" s="47"/>
      <c r="P13" s="12"/>
      <c r="Q13" s="126" t="s">
        <v>65</v>
      </c>
      <c r="R13" s="127" t="s">
        <v>66</v>
      </c>
      <c r="S13" s="128" t="n">
        <v>5000</v>
      </c>
      <c r="T13" s="129" t="n">
        <f aca="false">SUM(S13*90/100)</f>
        <v>4500</v>
      </c>
      <c r="U13" s="130" t="n">
        <v>5</v>
      </c>
      <c r="V13" s="129" t="n">
        <f aca="false">T13-U13</f>
        <v>4495</v>
      </c>
      <c r="W13" s="129" t="s">
        <v>47</v>
      </c>
      <c r="X13" s="131" t="s">
        <v>48</v>
      </c>
    </row>
    <row r="14" customFormat="false" ht="15.75" hidden="false" customHeight="true" outlineLevel="0" collapsed="false">
      <c r="A14" s="59"/>
      <c r="B14" s="17"/>
      <c r="C14" s="63"/>
      <c r="D14" s="18"/>
      <c r="E14" s="17"/>
      <c r="F14" s="40"/>
      <c r="G14" s="8"/>
      <c r="H14" s="41"/>
      <c r="I14" s="42"/>
      <c r="J14" s="43"/>
      <c r="K14" s="44" t="n">
        <f aca="false">SUM(J14*90/100)</f>
        <v>0</v>
      </c>
      <c r="L14" s="45"/>
      <c r="M14" s="44" t="n">
        <f aca="false">K14-L14</f>
        <v>0</v>
      </c>
      <c r="N14" s="46"/>
      <c r="O14" s="47"/>
      <c r="P14" s="12"/>
      <c r="Q14" s="41" t="n">
        <v>23319</v>
      </c>
      <c r="R14" s="42" t="s">
        <v>67</v>
      </c>
      <c r="S14" s="43" t="n">
        <v>3500</v>
      </c>
      <c r="T14" s="48" t="n">
        <f aca="false">SUM(S14*90/100)</f>
        <v>3150</v>
      </c>
      <c r="U14" s="45" t="n">
        <v>5</v>
      </c>
      <c r="V14" s="48" t="n">
        <f aca="false">T14-U14</f>
        <v>3145</v>
      </c>
      <c r="W14" s="46" t="s">
        <v>47</v>
      </c>
      <c r="X14" s="47" t="s">
        <v>48</v>
      </c>
    </row>
    <row r="15" customFormat="false" ht="15.75" hidden="false" customHeight="true" outlineLevel="0" collapsed="false">
      <c r="A15" s="59"/>
      <c r="B15" s="17"/>
      <c r="C15" s="63"/>
      <c r="D15" s="18"/>
      <c r="E15" s="17"/>
      <c r="F15" s="40"/>
      <c r="G15" s="8"/>
      <c r="H15" s="41"/>
      <c r="I15" s="42"/>
      <c r="J15" s="43"/>
      <c r="K15" s="44" t="n">
        <f aca="false">SUM(J15*90/100)</f>
        <v>0</v>
      </c>
      <c r="L15" s="45"/>
      <c r="M15" s="44" t="n">
        <f aca="false">K15-L15</f>
        <v>0</v>
      </c>
      <c r="N15" s="46"/>
      <c r="O15" s="47"/>
      <c r="P15" s="12"/>
      <c r="Q15" s="41" t="s">
        <v>68</v>
      </c>
      <c r="R15" s="42" t="s">
        <v>69</v>
      </c>
      <c r="S15" s="43" t="n">
        <v>200</v>
      </c>
      <c r="T15" s="48" t="n">
        <f aca="false">SUM(S15*90/100)</f>
        <v>180</v>
      </c>
      <c r="U15" s="45" t="n">
        <v>5</v>
      </c>
      <c r="V15" s="48" t="n">
        <f aca="false">T15-U15</f>
        <v>175</v>
      </c>
      <c r="W15" s="46" t="s">
        <v>47</v>
      </c>
      <c r="X15" s="47" t="s">
        <v>48</v>
      </c>
    </row>
    <row r="16" customFormat="false" ht="15.75" hidden="false" customHeight="true" outlineLevel="0" collapsed="false">
      <c r="A16" s="59"/>
      <c r="B16" s="17"/>
      <c r="C16" s="63"/>
      <c r="D16" s="18"/>
      <c r="E16" s="17"/>
      <c r="F16" s="40"/>
      <c r="G16" s="8"/>
      <c r="H16" s="41"/>
      <c r="I16" s="42"/>
      <c r="J16" s="43"/>
      <c r="K16" s="44" t="n">
        <f aca="false">SUM(J16*90/100)</f>
        <v>0</v>
      </c>
      <c r="L16" s="45"/>
      <c r="M16" s="44" t="n">
        <f aca="false">K16-L16</f>
        <v>0</v>
      </c>
      <c r="N16" s="46"/>
      <c r="O16" s="47"/>
      <c r="P16" s="12"/>
      <c r="Q16" s="41" t="n">
        <v>23216</v>
      </c>
      <c r="R16" s="42" t="s">
        <v>70</v>
      </c>
      <c r="S16" s="43" t="n">
        <v>2000</v>
      </c>
      <c r="T16" s="48" t="n">
        <f aca="false">SUM(S16*90/100)</f>
        <v>1800</v>
      </c>
      <c r="U16" s="45" t="n">
        <v>5</v>
      </c>
      <c r="V16" s="48" t="n">
        <f aca="false">T16-U16</f>
        <v>1795</v>
      </c>
      <c r="W16" s="46" t="s">
        <v>47</v>
      </c>
      <c r="X16" s="47" t="s">
        <v>48</v>
      </c>
    </row>
    <row r="17" customFormat="false" ht="15.75" hidden="false" customHeight="true" outlineLevel="0" collapsed="false">
      <c r="A17" s="59"/>
      <c r="B17" s="17"/>
      <c r="C17" s="63"/>
      <c r="D17" s="18"/>
      <c r="E17" s="17"/>
      <c r="F17" s="40"/>
      <c r="G17" s="8"/>
      <c r="H17" s="41"/>
      <c r="I17" s="42"/>
      <c r="J17" s="43"/>
      <c r="K17" s="44" t="n">
        <f aca="false">SUM(J17*90/100)</f>
        <v>0</v>
      </c>
      <c r="L17" s="45"/>
      <c r="M17" s="44" t="n">
        <f aca="false">K17-L17</f>
        <v>0</v>
      </c>
      <c r="N17" s="46"/>
      <c r="O17" s="47"/>
      <c r="P17" s="12"/>
      <c r="Q17" s="41" t="n">
        <v>23368</v>
      </c>
      <c r="R17" s="42" t="s">
        <v>71</v>
      </c>
      <c r="S17" s="43" t="n">
        <v>1500</v>
      </c>
      <c r="T17" s="48" t="n">
        <f aca="false">SUM(S17*90/100)</f>
        <v>1350</v>
      </c>
      <c r="U17" s="45" t="n">
        <v>5</v>
      </c>
      <c r="V17" s="48" t="n">
        <f aca="false">T17-U17</f>
        <v>1345</v>
      </c>
      <c r="W17" s="46" t="s">
        <v>47</v>
      </c>
      <c r="X17" s="47" t="s">
        <v>51</v>
      </c>
    </row>
    <row r="18" customFormat="false" ht="15.75" hidden="false" customHeight="true" outlineLevel="0" collapsed="false">
      <c r="A18" s="59"/>
      <c r="B18" s="17"/>
      <c r="C18" s="63"/>
      <c r="D18" s="18"/>
      <c r="E18" s="17"/>
      <c r="F18" s="40"/>
      <c r="G18" s="8"/>
      <c r="H18" s="41"/>
      <c r="I18" s="42"/>
      <c r="J18" s="43"/>
      <c r="K18" s="44" t="n">
        <f aca="false">SUM(J18*90/100)</f>
        <v>0</v>
      </c>
      <c r="L18" s="45"/>
      <c r="M18" s="44" t="n">
        <f aca="false">K18-L18</f>
        <v>0</v>
      </c>
      <c r="N18" s="46"/>
      <c r="O18" s="47"/>
      <c r="P18" s="12"/>
      <c r="Q18" s="41" t="n">
        <v>23384</v>
      </c>
      <c r="R18" s="42" t="s">
        <v>72</v>
      </c>
      <c r="S18" s="43" t="n">
        <v>500</v>
      </c>
      <c r="T18" s="48" t="n">
        <f aca="false">SUM(S18*90/100)</f>
        <v>450</v>
      </c>
      <c r="U18" s="45" t="n">
        <v>5</v>
      </c>
      <c r="V18" s="48" t="n">
        <f aca="false">T18-U18</f>
        <v>445</v>
      </c>
      <c r="W18" s="46" t="s">
        <v>47</v>
      </c>
      <c r="X18" s="47" t="s">
        <v>73</v>
      </c>
    </row>
    <row r="19" customFormat="false" ht="15.75" hidden="false" customHeight="true" outlineLevel="0" collapsed="false">
      <c r="A19" s="59"/>
      <c r="B19" s="17"/>
      <c r="C19" s="63"/>
      <c r="D19" s="18"/>
      <c r="E19" s="17"/>
      <c r="F19" s="40"/>
      <c r="G19" s="8"/>
      <c r="H19" s="41"/>
      <c r="I19" s="42"/>
      <c r="J19" s="43"/>
      <c r="K19" s="44" t="n">
        <f aca="false">SUM(J19*90/100)</f>
        <v>0</v>
      </c>
      <c r="L19" s="45"/>
      <c r="M19" s="44" t="n">
        <f aca="false">K19-L19</f>
        <v>0</v>
      </c>
      <c r="N19" s="46"/>
      <c r="O19" s="47"/>
      <c r="P19" s="12"/>
      <c r="Q19" s="41"/>
      <c r="R19" s="42"/>
      <c r="S19" s="43"/>
      <c r="T19" s="48" t="n">
        <f aca="false">SUM(S19*90/100)</f>
        <v>0</v>
      </c>
      <c r="U19" s="45"/>
      <c r="V19" s="48" t="n">
        <f aca="false">T19-U19</f>
        <v>0</v>
      </c>
      <c r="W19" s="46"/>
      <c r="X19" s="47"/>
    </row>
    <row r="20" customFormat="false" ht="15.75" hidden="false" customHeight="true" outlineLevel="0" collapsed="false">
      <c r="A20" s="59"/>
      <c r="B20" s="17"/>
      <c r="C20" s="63"/>
      <c r="D20" s="18"/>
      <c r="E20" s="17"/>
      <c r="F20" s="40"/>
      <c r="G20" s="8"/>
      <c r="H20" s="41"/>
      <c r="I20" s="42"/>
      <c r="J20" s="43"/>
      <c r="K20" s="44" t="n">
        <f aca="false">SUM(J20*90/100)</f>
        <v>0</v>
      </c>
      <c r="L20" s="45"/>
      <c r="M20" s="44" t="n">
        <f aca="false">K20-L20</f>
        <v>0</v>
      </c>
      <c r="N20" s="46"/>
      <c r="O20" s="47"/>
      <c r="P20" s="12"/>
      <c r="Q20" s="41"/>
      <c r="R20" s="42"/>
      <c r="S20" s="43"/>
      <c r="T20" s="48" t="n">
        <f aca="false">SUM(S20*90/100)</f>
        <v>0</v>
      </c>
      <c r="U20" s="45"/>
      <c r="V20" s="48" t="n">
        <f aca="false">T20-U20</f>
        <v>0</v>
      </c>
      <c r="W20" s="46"/>
      <c r="X20" s="47"/>
    </row>
    <row r="21" customFormat="false" ht="15.75" hidden="false" customHeight="true" outlineLevel="0" collapsed="false">
      <c r="A21" s="64" t="s">
        <v>21</v>
      </c>
      <c r="B21" s="65" t="n">
        <f aca="false">SUM(B9:B20)</f>
        <v>20055</v>
      </c>
      <c r="C21" s="66"/>
      <c r="D21" s="67" t="s">
        <v>22</v>
      </c>
      <c r="E21" s="68" t="n">
        <f aca="false">F4+F7+E12</f>
        <v>71929</v>
      </c>
      <c r="F21" s="69"/>
      <c r="G21" s="8"/>
      <c r="H21" s="70"/>
      <c r="I21" s="71"/>
      <c r="J21" s="72" t="n">
        <f aca="false">SUM(J5:J20)</f>
        <v>1500</v>
      </c>
      <c r="K21" s="73" t="n">
        <f aca="false">SUM(K5:K20)</f>
        <v>1350</v>
      </c>
      <c r="L21" s="72" t="n">
        <f aca="false">SUM(L5:L20)</f>
        <v>34</v>
      </c>
      <c r="M21" s="74" t="n">
        <f aca="false">K21-L21</f>
        <v>1316</v>
      </c>
      <c r="N21" s="75"/>
      <c r="O21" s="76"/>
      <c r="P21" s="12"/>
      <c r="Q21" s="70"/>
      <c r="R21" s="75"/>
      <c r="S21" s="72" t="n">
        <f aca="false">SUM(S5:S20)</f>
        <v>18550</v>
      </c>
      <c r="T21" s="77" t="n">
        <f aca="false">SUM(T5:T20)</f>
        <v>16695</v>
      </c>
      <c r="U21" s="72" t="n">
        <f aca="false">SUM(U5:U20)</f>
        <v>70</v>
      </c>
      <c r="V21" s="78" t="n">
        <f aca="false">T21-U21</f>
        <v>16625</v>
      </c>
      <c r="W21" s="75"/>
      <c r="X21" s="76"/>
    </row>
    <row r="22" customFormat="false" ht="15.75" hidden="false" customHeight="true" outlineLevel="0" collapsed="false">
      <c r="A22" s="8"/>
      <c r="B22" s="79"/>
      <c r="C22" s="80"/>
      <c r="D22" s="81"/>
      <c r="E22" s="79"/>
      <c r="F22" s="8"/>
      <c r="G22" s="8"/>
      <c r="H22" s="24"/>
      <c r="I22" s="82"/>
      <c r="J22" s="24"/>
      <c r="K22" s="23"/>
      <c r="L22" s="12"/>
      <c r="M22" s="24"/>
      <c r="N22" s="24"/>
      <c r="O22" s="12"/>
      <c r="P22" s="12"/>
      <c r="Q22" s="83"/>
      <c r="R22" s="83"/>
      <c r="S22" s="83"/>
      <c r="T22" s="83"/>
      <c r="U22" s="83"/>
      <c r="V22" s="83"/>
      <c r="W22" s="83"/>
      <c r="X22" s="83"/>
    </row>
    <row r="23" customFormat="false" ht="15.75" hidden="false" customHeight="true" outlineLevel="0" collapsed="false">
      <c r="A23" s="8"/>
      <c r="B23" s="84" t="s">
        <v>23</v>
      </c>
      <c r="C23" s="84"/>
      <c r="D23" s="84"/>
      <c r="E23" s="79"/>
      <c r="F23" s="8"/>
      <c r="G23" s="8"/>
      <c r="H23" s="9" t="s">
        <v>24</v>
      </c>
      <c r="I23" s="9"/>
      <c r="J23" s="9"/>
      <c r="K23" s="10"/>
      <c r="L23" s="11" t="s">
        <v>5</v>
      </c>
      <c r="M23" s="11"/>
      <c r="N23" s="11"/>
      <c r="O23" s="11"/>
      <c r="P23" s="12"/>
      <c r="Q23" s="13" t="s">
        <v>25</v>
      </c>
      <c r="R23" s="13"/>
      <c r="S23" s="13"/>
      <c r="T23" s="85"/>
      <c r="U23" s="11" t="s">
        <v>5</v>
      </c>
      <c r="V23" s="11"/>
      <c r="W23" s="11"/>
      <c r="X23" s="11"/>
    </row>
    <row r="24" customFormat="false" ht="15.75" hidden="false" customHeight="true" outlineLevel="0" collapsed="false">
      <c r="A24" s="8"/>
      <c r="B24" s="84"/>
      <c r="C24" s="84"/>
      <c r="D24" s="84"/>
      <c r="E24" s="79"/>
      <c r="F24" s="8"/>
      <c r="G24" s="8"/>
      <c r="H24" s="20"/>
      <c r="I24" s="21"/>
      <c r="J24" s="22"/>
      <c r="K24" s="23"/>
      <c r="L24" s="12"/>
      <c r="M24" s="24"/>
      <c r="N24" s="24"/>
      <c r="O24" s="25"/>
      <c r="P24" s="12"/>
      <c r="Q24" s="20"/>
      <c r="R24" s="22"/>
      <c r="S24" s="22"/>
      <c r="T24" s="12"/>
      <c r="U24" s="12"/>
      <c r="V24" s="24"/>
      <c r="W24" s="24"/>
      <c r="X24" s="25"/>
    </row>
    <row r="25" customFormat="false" ht="15.75" hidden="false" customHeight="true" outlineLevel="0" collapsed="false">
      <c r="A25" s="8"/>
      <c r="B25" s="84"/>
      <c r="C25" s="84"/>
      <c r="D25" s="84"/>
      <c r="E25" s="79"/>
      <c r="F25" s="8"/>
      <c r="G25" s="8"/>
      <c r="H25" s="86" t="s">
        <v>9</v>
      </c>
      <c r="I25" s="87" t="s">
        <v>10</v>
      </c>
      <c r="J25" s="33" t="s">
        <v>11</v>
      </c>
      <c r="K25" s="87" t="s">
        <v>12</v>
      </c>
      <c r="L25" s="88" t="s">
        <v>13</v>
      </c>
      <c r="M25" s="88" t="s">
        <v>14</v>
      </c>
      <c r="N25" s="88" t="s">
        <v>15</v>
      </c>
      <c r="O25" s="89" t="s">
        <v>16</v>
      </c>
      <c r="P25" s="12"/>
      <c r="Q25" s="86" t="s">
        <v>9</v>
      </c>
      <c r="R25" s="87" t="s">
        <v>10</v>
      </c>
      <c r="S25" s="33" t="s">
        <v>11</v>
      </c>
      <c r="T25" s="87" t="s">
        <v>12</v>
      </c>
      <c r="U25" s="88" t="s">
        <v>13</v>
      </c>
      <c r="V25" s="88" t="s">
        <v>14</v>
      </c>
      <c r="W25" s="88" t="s">
        <v>15</v>
      </c>
      <c r="X25" s="89" t="s">
        <v>16</v>
      </c>
    </row>
    <row r="26" customFormat="false" ht="15.75" hidden="false" customHeight="true" outlineLevel="0" collapsed="false">
      <c r="A26" s="8"/>
      <c r="B26" s="84"/>
      <c r="C26" s="84"/>
      <c r="D26" s="84"/>
      <c r="E26" s="79"/>
      <c r="F26" s="8"/>
      <c r="G26" s="8"/>
      <c r="H26" s="41" t="n">
        <v>24129</v>
      </c>
      <c r="I26" s="42" t="s">
        <v>59</v>
      </c>
      <c r="J26" s="43" t="n">
        <v>5000</v>
      </c>
      <c r="K26" s="90" t="n">
        <f aca="false">SUM(J26*90/100)</f>
        <v>4500</v>
      </c>
      <c r="L26" s="45" t="n">
        <v>100</v>
      </c>
      <c r="M26" s="44" t="n">
        <f aca="false">K26-L26</f>
        <v>4400</v>
      </c>
      <c r="N26" s="46" t="s">
        <v>50</v>
      </c>
      <c r="O26" s="47" t="s">
        <v>51</v>
      </c>
      <c r="P26" s="12"/>
      <c r="Q26" s="41" t="n">
        <v>24130</v>
      </c>
      <c r="R26" s="42" t="s">
        <v>74</v>
      </c>
      <c r="S26" s="43" t="n">
        <v>5000</v>
      </c>
      <c r="T26" s="48" t="n">
        <f aca="false">S26*90/100</f>
        <v>4500</v>
      </c>
      <c r="U26" s="45" t="n">
        <v>100</v>
      </c>
      <c r="V26" s="48" t="n">
        <f aca="false">T26-U26</f>
        <v>4400</v>
      </c>
      <c r="W26" s="46" t="s">
        <v>47</v>
      </c>
      <c r="X26" s="47" t="s">
        <v>51</v>
      </c>
    </row>
    <row r="27" customFormat="false" ht="15.75" hidden="false" customHeight="true" outlineLevel="0" collapsed="false">
      <c r="A27" s="8"/>
      <c r="B27" s="84"/>
      <c r="C27" s="84"/>
      <c r="D27" s="84"/>
      <c r="E27" s="79"/>
      <c r="F27" s="8"/>
      <c r="G27" s="8"/>
      <c r="H27" s="126" t="s">
        <v>75</v>
      </c>
      <c r="I27" s="42" t="s">
        <v>59</v>
      </c>
      <c r="J27" s="43" t="n">
        <v>2300</v>
      </c>
      <c r="K27" s="90" t="n">
        <f aca="false">SUM(J27*90/100)</f>
        <v>2070</v>
      </c>
      <c r="L27" s="45" t="n">
        <v>50</v>
      </c>
      <c r="M27" s="44" t="n">
        <f aca="false">K27-L27</f>
        <v>2020</v>
      </c>
      <c r="N27" s="46" t="s">
        <v>50</v>
      </c>
      <c r="O27" s="47" t="s">
        <v>51</v>
      </c>
      <c r="P27" s="12"/>
      <c r="Q27" s="41"/>
      <c r="R27" s="42"/>
      <c r="S27" s="43"/>
      <c r="T27" s="48" t="n">
        <f aca="false">S27*90/100</f>
        <v>0</v>
      </c>
      <c r="U27" s="45"/>
      <c r="V27" s="48" t="n">
        <f aca="false">T27-U27</f>
        <v>0</v>
      </c>
      <c r="W27" s="46"/>
      <c r="X27" s="47"/>
    </row>
    <row r="28" customFormat="false" ht="15.75" hidden="false" customHeight="true" outlineLevel="0" collapsed="false">
      <c r="A28" s="8"/>
      <c r="B28" s="91" t="n">
        <f aca="false">E21-B7-B21-M21-M36-V21-V36</f>
        <v>15230</v>
      </c>
      <c r="C28" s="91"/>
      <c r="D28" s="91"/>
      <c r="E28" s="79"/>
      <c r="F28" s="8"/>
      <c r="G28" s="8"/>
      <c r="H28" s="41" t="n">
        <v>24131</v>
      </c>
      <c r="I28" s="42" t="s">
        <v>76</v>
      </c>
      <c r="J28" s="43" t="n">
        <v>2500</v>
      </c>
      <c r="K28" s="90" t="n">
        <f aca="false">SUM(J28*90/100)</f>
        <v>2250</v>
      </c>
      <c r="L28" s="45" t="n">
        <v>50</v>
      </c>
      <c r="M28" s="44" t="n">
        <f aca="false">K28-L28</f>
        <v>2200</v>
      </c>
      <c r="N28" s="46" t="s">
        <v>50</v>
      </c>
      <c r="O28" s="47" t="s">
        <v>77</v>
      </c>
      <c r="P28" s="12"/>
      <c r="Q28" s="41"/>
      <c r="R28" s="42"/>
      <c r="S28" s="43"/>
      <c r="T28" s="48" t="n">
        <f aca="false">S28*90/100</f>
        <v>0</v>
      </c>
      <c r="U28" s="45"/>
      <c r="V28" s="48" t="n">
        <f aca="false">T28-U28</f>
        <v>0</v>
      </c>
      <c r="W28" s="46"/>
      <c r="X28" s="47"/>
    </row>
    <row r="29" customFormat="false" ht="15.75" hidden="false" customHeight="true" outlineLevel="0" collapsed="false">
      <c r="A29" s="8"/>
      <c r="B29" s="91"/>
      <c r="C29" s="91"/>
      <c r="D29" s="91"/>
      <c r="E29" s="79"/>
      <c r="F29" s="8"/>
      <c r="G29" s="8"/>
      <c r="H29" s="41"/>
      <c r="I29" s="42"/>
      <c r="J29" s="43"/>
      <c r="K29" s="90" t="n">
        <f aca="false">SUM(J29*90/100)</f>
        <v>0</v>
      </c>
      <c r="L29" s="45"/>
      <c r="M29" s="44" t="n">
        <f aca="false">K29-L29</f>
        <v>0</v>
      </c>
      <c r="N29" s="46"/>
      <c r="O29" s="47"/>
      <c r="P29" s="12"/>
      <c r="Q29" s="41"/>
      <c r="R29" s="42"/>
      <c r="S29" s="43"/>
      <c r="T29" s="48" t="n">
        <f aca="false">S29*90/100</f>
        <v>0</v>
      </c>
      <c r="U29" s="45"/>
      <c r="V29" s="48" t="n">
        <f aca="false">T29-U29</f>
        <v>0</v>
      </c>
      <c r="W29" s="46"/>
      <c r="X29" s="47"/>
    </row>
    <row r="30" customFormat="false" ht="15.75" hidden="false" customHeight="true" outlineLevel="0" collapsed="false">
      <c r="A30" s="8"/>
      <c r="B30" s="91"/>
      <c r="C30" s="91"/>
      <c r="D30" s="91"/>
      <c r="E30" s="79"/>
      <c r="F30" s="8"/>
      <c r="G30" s="8"/>
      <c r="H30" s="41"/>
      <c r="I30" s="42"/>
      <c r="J30" s="43"/>
      <c r="K30" s="90" t="n">
        <f aca="false">SUM(J30*90/100)</f>
        <v>0</v>
      </c>
      <c r="L30" s="45"/>
      <c r="M30" s="44" t="n">
        <f aca="false">K30-L30</f>
        <v>0</v>
      </c>
      <c r="N30" s="46"/>
      <c r="O30" s="47"/>
      <c r="P30" s="12"/>
      <c r="Q30" s="41"/>
      <c r="R30" s="42"/>
      <c r="S30" s="43"/>
      <c r="T30" s="48" t="n">
        <f aca="false">S30*90/100</f>
        <v>0</v>
      </c>
      <c r="U30" s="45"/>
      <c r="V30" s="48" t="n">
        <f aca="false">T30-U30</f>
        <v>0</v>
      </c>
      <c r="W30" s="46"/>
      <c r="X30" s="47"/>
    </row>
    <row r="31" customFormat="false" ht="15.75" hidden="false" customHeight="true" outlineLevel="0" collapsed="false">
      <c r="A31" s="8"/>
      <c r="B31" s="91"/>
      <c r="C31" s="91"/>
      <c r="D31" s="91"/>
      <c r="E31" s="79"/>
      <c r="F31" s="8"/>
      <c r="G31" s="8"/>
      <c r="H31" s="41"/>
      <c r="I31" s="42"/>
      <c r="J31" s="43"/>
      <c r="K31" s="90" t="n">
        <f aca="false">SUM(J31*90/100)</f>
        <v>0</v>
      </c>
      <c r="L31" s="45"/>
      <c r="M31" s="44" t="n">
        <f aca="false">K31-L31</f>
        <v>0</v>
      </c>
      <c r="N31" s="46"/>
      <c r="O31" s="47"/>
      <c r="P31" s="12"/>
      <c r="Q31" s="41"/>
      <c r="R31" s="42"/>
      <c r="S31" s="43"/>
      <c r="T31" s="48" t="n">
        <f aca="false">S31*90/100</f>
        <v>0</v>
      </c>
      <c r="U31" s="45"/>
      <c r="V31" s="48" t="n">
        <f aca="false">T31-U31</f>
        <v>0</v>
      </c>
      <c r="W31" s="46"/>
      <c r="X31" s="47"/>
    </row>
    <row r="32" customFormat="false" ht="15.75" hidden="false" customHeight="true" outlineLevel="0" collapsed="false">
      <c r="A32" s="1"/>
      <c r="B32" s="91"/>
      <c r="C32" s="91"/>
      <c r="D32" s="91"/>
      <c r="E32" s="1"/>
      <c r="F32" s="8"/>
      <c r="G32" s="8"/>
      <c r="H32" s="41"/>
      <c r="I32" s="42"/>
      <c r="J32" s="43"/>
      <c r="K32" s="90" t="n">
        <f aca="false">SUM(J32*90/100)</f>
        <v>0</v>
      </c>
      <c r="L32" s="45"/>
      <c r="M32" s="44" t="n">
        <f aca="false">K32-L32</f>
        <v>0</v>
      </c>
      <c r="N32" s="46"/>
      <c r="O32" s="47"/>
      <c r="P32" s="12"/>
      <c r="Q32" s="41"/>
      <c r="R32" s="42"/>
      <c r="S32" s="43"/>
      <c r="T32" s="48" t="n">
        <f aca="false">S32*90/100</f>
        <v>0</v>
      </c>
      <c r="U32" s="45"/>
      <c r="V32" s="48" t="n">
        <f aca="false">T32-U32</f>
        <v>0</v>
      </c>
      <c r="W32" s="46"/>
      <c r="X32" s="47"/>
    </row>
    <row r="33" customFormat="false" ht="15.75" hidden="false" customHeight="true" outlineLevel="0" collapsed="false">
      <c r="A33" s="1"/>
      <c r="B33" s="1"/>
      <c r="C33" s="1"/>
      <c r="D33" s="1"/>
      <c r="E33" s="1"/>
      <c r="F33" s="8"/>
      <c r="G33" s="8"/>
      <c r="H33" s="41"/>
      <c r="I33" s="42"/>
      <c r="J33" s="43"/>
      <c r="K33" s="90" t="n">
        <f aca="false">SUM(J33*90/100)</f>
        <v>0</v>
      </c>
      <c r="L33" s="45"/>
      <c r="M33" s="44" t="n">
        <f aca="false">K33-L33</f>
        <v>0</v>
      </c>
      <c r="N33" s="46"/>
      <c r="O33" s="47"/>
      <c r="P33" s="12"/>
      <c r="Q33" s="41"/>
      <c r="R33" s="42"/>
      <c r="S33" s="43"/>
      <c r="T33" s="48" t="n">
        <f aca="false">S33*90/100</f>
        <v>0</v>
      </c>
      <c r="U33" s="45"/>
      <c r="V33" s="48" t="n">
        <f aca="false">T33-U33</f>
        <v>0</v>
      </c>
      <c r="W33" s="46"/>
      <c r="X33" s="47"/>
    </row>
    <row r="34" customFormat="false" ht="14.25" hidden="false" customHeight="true" outlineLevel="0" collapsed="false">
      <c r="A34" s="92" t="s">
        <v>27</v>
      </c>
      <c r="B34" s="92"/>
      <c r="C34" s="92"/>
      <c r="D34" s="1"/>
      <c r="E34" s="1"/>
      <c r="F34" s="8"/>
      <c r="G34" s="8"/>
      <c r="H34" s="41"/>
      <c r="I34" s="42"/>
      <c r="J34" s="43"/>
      <c r="K34" s="90" t="n">
        <f aca="false">SUM(J34*90/100)</f>
        <v>0</v>
      </c>
      <c r="L34" s="45"/>
      <c r="M34" s="44" t="n">
        <f aca="false">K34-L34</f>
        <v>0</v>
      </c>
      <c r="N34" s="46"/>
      <c r="O34" s="47"/>
      <c r="P34" s="12"/>
      <c r="Q34" s="41"/>
      <c r="R34" s="42"/>
      <c r="S34" s="43"/>
      <c r="T34" s="48" t="n">
        <f aca="false">S34*90/100</f>
        <v>0</v>
      </c>
      <c r="U34" s="45"/>
      <c r="V34" s="48" t="n">
        <f aca="false">T34-U34</f>
        <v>0</v>
      </c>
      <c r="W34" s="46"/>
      <c r="X34" s="47"/>
    </row>
    <row r="35" customFormat="false" ht="18" hidden="false" customHeight="true" outlineLevel="0" collapsed="false">
      <c r="A35" s="93"/>
      <c r="B35" s="93"/>
      <c r="C35" s="93"/>
      <c r="D35" s="1"/>
      <c r="E35" s="1"/>
      <c r="F35" s="8"/>
      <c r="G35" s="8"/>
      <c r="H35" s="41"/>
      <c r="I35" s="42"/>
      <c r="J35" s="43"/>
      <c r="K35" s="90" t="n">
        <f aca="false">SUM(J35*90/100)</f>
        <v>0</v>
      </c>
      <c r="L35" s="45"/>
      <c r="M35" s="44" t="n">
        <f aca="false">K35-L35</f>
        <v>0</v>
      </c>
      <c r="N35" s="46"/>
      <c r="O35" s="47"/>
      <c r="P35" s="12"/>
      <c r="Q35" s="41"/>
      <c r="R35" s="42"/>
      <c r="S35" s="43"/>
      <c r="T35" s="48" t="n">
        <f aca="false">S35*90/100</f>
        <v>0</v>
      </c>
      <c r="U35" s="45"/>
      <c r="V35" s="48" t="n">
        <f aca="false">T35-U35</f>
        <v>0</v>
      </c>
      <c r="W35" s="46"/>
      <c r="X35" s="47"/>
    </row>
    <row r="36" customFormat="false" ht="24" hidden="false" customHeight="true" outlineLevel="0" collapsed="false">
      <c r="A36" s="92" t="s">
        <v>28</v>
      </c>
      <c r="B36" s="92"/>
      <c r="C36" s="94" t="n">
        <v>4234</v>
      </c>
      <c r="D36" s="1"/>
      <c r="E36" s="1"/>
      <c r="F36" s="8"/>
      <c r="G36" s="8"/>
      <c r="H36" s="70"/>
      <c r="I36" s="71"/>
      <c r="J36" s="72" t="n">
        <f aca="false">SUM(J26:J35)</f>
        <v>9800</v>
      </c>
      <c r="K36" s="95" t="n">
        <f aca="false">SUM(J36*90/100)</f>
        <v>8820</v>
      </c>
      <c r="L36" s="72" t="n">
        <f aca="false">SUM(L26:L35)</f>
        <v>200</v>
      </c>
      <c r="M36" s="74" t="n">
        <f aca="false">K36-L36</f>
        <v>8620</v>
      </c>
      <c r="N36" s="75"/>
      <c r="O36" s="76"/>
      <c r="P36" s="12"/>
      <c r="Q36" s="70"/>
      <c r="R36" s="75"/>
      <c r="S36" s="72" t="n">
        <f aca="false">SUM(S26:S35)</f>
        <v>5000</v>
      </c>
      <c r="T36" s="77" t="n">
        <f aca="false">SUM(T26:T35)</f>
        <v>4500</v>
      </c>
      <c r="U36" s="72" t="n">
        <f aca="false">SUM(U26:U35)</f>
        <v>100</v>
      </c>
      <c r="V36" s="78" t="n">
        <f aca="false">T36-U36</f>
        <v>4400</v>
      </c>
      <c r="W36" s="75"/>
      <c r="X36" s="76"/>
    </row>
    <row r="37" customFormat="false" ht="7.5" hidden="false" customHeight="true" outlineLevel="0" collapsed="false">
      <c r="A37" s="1"/>
      <c r="B37" s="1"/>
      <c r="C37" s="8"/>
      <c r="D37" s="1"/>
      <c r="E37" s="1"/>
      <c r="F37" s="8"/>
      <c r="G37" s="8"/>
      <c r="H37" s="79"/>
      <c r="I37" s="96"/>
      <c r="J37" s="79"/>
      <c r="K37" s="97"/>
      <c r="L37" s="8"/>
      <c r="M37" s="79"/>
      <c r="N37" s="79"/>
      <c r="O37" s="8"/>
      <c r="P37" s="8"/>
      <c r="Q37" s="1"/>
      <c r="R37" s="1"/>
      <c r="S37" s="1"/>
      <c r="T37" s="1"/>
      <c r="U37" s="1"/>
      <c r="V37" s="1"/>
      <c r="W37" s="1"/>
      <c r="X37" s="1"/>
    </row>
    <row r="38" customFormat="false" ht="1.5" hidden="false" customHeight="true" outlineLevel="0" collapsed="false">
      <c r="A38" s="1"/>
      <c r="B38" s="1"/>
      <c r="C38" s="8"/>
      <c r="D38" s="1"/>
      <c r="E38" s="1"/>
      <c r="F38" s="8"/>
      <c r="G38" s="8"/>
      <c r="H38" s="79"/>
      <c r="I38" s="96"/>
      <c r="J38" s="79"/>
      <c r="K38" s="97"/>
      <c r="L38" s="8"/>
      <c r="M38" s="79"/>
      <c r="N38" s="79"/>
      <c r="O38" s="8"/>
      <c r="P38" s="8"/>
      <c r="Q38" s="1"/>
      <c r="R38" s="1"/>
      <c r="S38" s="1"/>
      <c r="T38" s="93"/>
      <c r="U38" s="93"/>
      <c r="V38" s="1"/>
      <c r="W38" s="1"/>
      <c r="X38" s="1"/>
    </row>
    <row r="39" customFormat="false" ht="24" hidden="false" customHeight="true" outlineLevel="0" collapsed="false">
      <c r="A39" s="98" t="s">
        <v>29</v>
      </c>
      <c r="B39" s="98"/>
      <c r="C39" s="99" t="n">
        <f aca="false">SUM(C36+D59-E59+G59-H59+K59-L59)</f>
        <v>5683</v>
      </c>
      <c r="D39" s="100" t="s">
        <v>30</v>
      </c>
      <c r="E39" s="101" t="s">
        <v>31</v>
      </c>
      <c r="F39" s="102" t="s">
        <v>32</v>
      </c>
      <c r="G39" s="101" t="s">
        <v>30</v>
      </c>
      <c r="H39" s="101" t="s">
        <v>33</v>
      </c>
      <c r="I39" s="103" t="s">
        <v>32</v>
      </c>
      <c r="J39" s="104"/>
      <c r="K39" s="101" t="s">
        <v>30</v>
      </c>
      <c r="L39" s="101" t="s">
        <v>33</v>
      </c>
      <c r="M39" s="105" t="s">
        <v>32</v>
      </c>
      <c r="N39" s="106"/>
      <c r="O39" s="1"/>
      <c r="P39" s="8"/>
      <c r="Q39" s="1"/>
      <c r="R39" s="1"/>
      <c r="S39" s="93"/>
      <c r="T39" s="93"/>
      <c r="U39" s="93"/>
      <c r="V39" s="1"/>
      <c r="W39" s="1"/>
      <c r="X39" s="1"/>
    </row>
    <row r="40" customFormat="false" ht="15.75" hidden="false" customHeight="true" outlineLevel="0" collapsed="false">
      <c r="A40" s="98"/>
      <c r="B40" s="98"/>
      <c r="C40" s="99"/>
      <c r="D40" s="101"/>
      <c r="E40" s="101" t="n">
        <v>1500</v>
      </c>
      <c r="F40" s="107" t="s">
        <v>39</v>
      </c>
      <c r="G40" s="101" t="n">
        <v>490</v>
      </c>
      <c r="H40" s="108"/>
      <c r="I40" s="100" t="s">
        <v>71</v>
      </c>
      <c r="J40" s="109"/>
      <c r="K40" s="110"/>
      <c r="L40" s="101"/>
      <c r="M40" s="100"/>
      <c r="N40" s="100"/>
      <c r="O40" s="1"/>
      <c r="P40" s="8"/>
      <c r="Q40" s="1"/>
      <c r="R40" s="1"/>
      <c r="S40" s="93"/>
      <c r="T40" s="93"/>
      <c r="U40" s="1"/>
      <c r="V40" s="1"/>
      <c r="W40" s="1"/>
      <c r="X40" s="1"/>
    </row>
    <row r="41" customFormat="false" ht="15.75" hidden="false" customHeight="true" outlineLevel="0" collapsed="false">
      <c r="A41" s="98"/>
      <c r="B41" s="98"/>
      <c r="C41" s="99"/>
      <c r="D41" s="101"/>
      <c r="E41" s="101" t="n">
        <v>45</v>
      </c>
      <c r="F41" s="107" t="s">
        <v>57</v>
      </c>
      <c r="G41" s="101"/>
      <c r="H41" s="108" t="n">
        <v>1100</v>
      </c>
      <c r="I41" s="100" t="s">
        <v>78</v>
      </c>
      <c r="J41" s="109"/>
      <c r="K41" s="110"/>
      <c r="L41" s="101"/>
      <c r="M41" s="100"/>
      <c r="N41" s="100"/>
      <c r="O41" s="1"/>
      <c r="P41" s="8"/>
      <c r="Q41" s="1"/>
      <c r="R41" s="1"/>
      <c r="S41" s="1"/>
      <c r="T41" s="1"/>
      <c r="U41" s="1"/>
      <c r="V41" s="1"/>
      <c r="W41" s="1"/>
      <c r="X41" s="1"/>
    </row>
    <row r="42" customFormat="false" ht="15.75" hidden="false" customHeight="true" outlineLevel="0" collapsed="false">
      <c r="A42" s="98"/>
      <c r="B42" s="98"/>
      <c r="C42" s="99"/>
      <c r="D42" s="101"/>
      <c r="E42" s="101" t="n">
        <v>100</v>
      </c>
      <c r="F42" s="107" t="s">
        <v>79</v>
      </c>
      <c r="G42" s="101" t="n">
        <v>500</v>
      </c>
      <c r="H42" s="108"/>
      <c r="I42" s="100" t="s">
        <v>80</v>
      </c>
      <c r="J42" s="109"/>
      <c r="K42" s="110"/>
      <c r="L42" s="101"/>
      <c r="M42" s="100"/>
      <c r="N42" s="100"/>
      <c r="O42" s="1"/>
      <c r="P42" s="8"/>
      <c r="Q42" s="1"/>
      <c r="R42" s="1"/>
      <c r="S42" s="111" t="s">
        <v>34</v>
      </c>
      <c r="T42" s="111" t="s">
        <v>35</v>
      </c>
      <c r="U42" s="112" t="n">
        <f aca="false">SUM(L21+U21+L36+U36)</f>
        <v>404</v>
      </c>
      <c r="V42" s="111"/>
      <c r="W42" s="111"/>
      <c r="X42" s="111"/>
    </row>
    <row r="43" customFormat="false" ht="15.75" hidden="false" customHeight="true" outlineLevel="0" collapsed="false">
      <c r="A43" s="98"/>
      <c r="B43" s="98"/>
      <c r="C43" s="99"/>
      <c r="D43" s="101" t="n">
        <v>300</v>
      </c>
      <c r="E43" s="101"/>
      <c r="F43" s="107" t="s">
        <v>81</v>
      </c>
      <c r="G43" s="101" t="n">
        <v>100</v>
      </c>
      <c r="H43" s="108"/>
      <c r="I43" s="100" t="s">
        <v>82</v>
      </c>
      <c r="J43" s="109"/>
      <c r="K43" s="110"/>
      <c r="L43" s="101"/>
      <c r="M43" s="100"/>
      <c r="N43" s="100"/>
      <c r="O43" s="1"/>
      <c r="P43" s="8"/>
      <c r="Q43" s="1"/>
      <c r="R43" s="1"/>
      <c r="S43" s="111" t="s">
        <v>36</v>
      </c>
      <c r="T43" s="111" t="s">
        <v>35</v>
      </c>
      <c r="U43" s="111"/>
      <c r="V43" s="111"/>
      <c r="W43" s="111"/>
      <c r="X43" s="111"/>
    </row>
    <row r="44" customFormat="false" ht="15.75" hidden="false" customHeight="true" outlineLevel="0" collapsed="false">
      <c r="A44" s="98"/>
      <c r="B44" s="98"/>
      <c r="C44" s="99"/>
      <c r="D44" s="101" t="n">
        <v>510</v>
      </c>
      <c r="E44" s="101"/>
      <c r="F44" s="107" t="s">
        <v>66</v>
      </c>
      <c r="G44" s="101" t="n">
        <v>300</v>
      </c>
      <c r="H44" s="108"/>
      <c r="I44" s="100" t="s">
        <v>83</v>
      </c>
      <c r="J44" s="109"/>
      <c r="K44" s="110"/>
      <c r="M44" s="100"/>
      <c r="N44" s="100"/>
      <c r="O44" s="1"/>
      <c r="P44" s="8"/>
      <c r="Q44" s="1"/>
      <c r="R44" s="1"/>
      <c r="S44" s="111"/>
      <c r="T44" s="111"/>
      <c r="U44" s="111"/>
      <c r="V44" s="111"/>
      <c r="W44" s="111"/>
      <c r="X44" s="111"/>
    </row>
    <row r="45" customFormat="false" ht="15.75" hidden="false" customHeight="true" outlineLevel="0" collapsed="false">
      <c r="A45" s="98"/>
      <c r="B45" s="98"/>
      <c r="C45" s="99"/>
      <c r="D45" s="101" t="n">
        <v>1110</v>
      </c>
      <c r="E45" s="101"/>
      <c r="F45" s="107" t="s">
        <v>84</v>
      </c>
      <c r="G45" s="101"/>
      <c r="H45" s="108"/>
      <c r="I45" s="113"/>
      <c r="J45" s="114"/>
      <c r="K45" s="110"/>
      <c r="L45" s="101"/>
      <c r="M45" s="100"/>
      <c r="N45" s="100"/>
      <c r="O45" s="1"/>
      <c r="P45" s="8"/>
      <c r="Q45" s="1"/>
      <c r="R45" s="1"/>
      <c r="S45" s="111"/>
      <c r="T45" s="111"/>
      <c r="U45" s="111"/>
      <c r="V45" s="111"/>
      <c r="W45" s="111"/>
      <c r="X45" s="111"/>
    </row>
    <row r="46" customFormat="false" ht="15.75" hidden="false" customHeight="true" outlineLevel="0" collapsed="false">
      <c r="A46" s="98"/>
      <c r="B46" s="98"/>
      <c r="C46" s="99"/>
      <c r="D46" s="101"/>
      <c r="E46" s="101" t="n">
        <v>660</v>
      </c>
      <c r="F46" s="107" t="s">
        <v>84</v>
      </c>
      <c r="G46" s="101"/>
      <c r="H46" s="108"/>
      <c r="I46" s="100"/>
      <c r="J46" s="109"/>
      <c r="K46" s="110"/>
      <c r="L46" s="101"/>
      <c r="M46" s="100"/>
      <c r="N46" s="100"/>
      <c r="O46" s="1"/>
      <c r="P46" s="8"/>
      <c r="Q46" s="1"/>
      <c r="R46" s="1"/>
      <c r="S46" s="111"/>
      <c r="T46" s="111"/>
      <c r="U46" s="111"/>
      <c r="V46" s="111"/>
      <c r="W46" s="111"/>
      <c r="X46" s="111"/>
    </row>
    <row r="47" customFormat="false" ht="15.75" hidden="false" customHeight="true" outlineLevel="0" collapsed="false">
      <c r="A47" s="98"/>
      <c r="B47" s="98"/>
      <c r="C47" s="99"/>
      <c r="D47" s="101" t="n">
        <v>2050</v>
      </c>
      <c r="E47" s="101"/>
      <c r="F47" s="107" t="s">
        <v>67</v>
      </c>
      <c r="G47" s="101"/>
      <c r="H47" s="108"/>
      <c r="I47" s="100"/>
      <c r="J47" s="109"/>
      <c r="K47" s="110"/>
      <c r="L47" s="101"/>
      <c r="M47" s="115"/>
      <c r="N47" s="115"/>
      <c r="O47" s="1"/>
      <c r="P47" s="8"/>
      <c r="Q47" s="1"/>
      <c r="R47" s="1"/>
      <c r="S47" s="111" t="s">
        <v>37</v>
      </c>
      <c r="T47" s="111"/>
      <c r="U47" s="111"/>
      <c r="V47" s="111"/>
      <c r="W47" s="111" t="s">
        <v>38</v>
      </c>
      <c r="X47" s="111"/>
    </row>
    <row r="48" customFormat="false" ht="22.5" hidden="false" customHeight="true" outlineLevel="0" collapsed="false">
      <c r="A48" s="98"/>
      <c r="B48" s="98"/>
      <c r="C48" s="99"/>
      <c r="D48" s="101" t="n">
        <v>1670</v>
      </c>
      <c r="E48" s="101"/>
      <c r="F48" s="107" t="s">
        <v>63</v>
      </c>
      <c r="G48" s="101"/>
      <c r="H48" s="108"/>
      <c r="I48" s="116"/>
      <c r="J48" s="114"/>
      <c r="K48" s="110"/>
      <c r="L48" s="108"/>
      <c r="M48" s="100"/>
      <c r="N48" s="100"/>
      <c r="O48" s="1"/>
      <c r="P48" s="8"/>
      <c r="Q48" s="1"/>
      <c r="R48" s="1"/>
      <c r="S48" s="1"/>
      <c r="T48" s="1"/>
      <c r="U48" s="18" t="s">
        <v>39</v>
      </c>
      <c r="V48" s="93"/>
      <c r="W48" s="93"/>
      <c r="X48" s="1"/>
    </row>
    <row r="49" customFormat="false" ht="15.75" hidden="false" customHeight="true" outlineLevel="0" collapsed="false">
      <c r="A49" s="98"/>
      <c r="B49" s="98"/>
      <c r="C49" s="99"/>
      <c r="D49" s="101"/>
      <c r="E49" s="101" t="n">
        <v>300</v>
      </c>
      <c r="F49" s="117" t="s">
        <v>61</v>
      </c>
      <c r="G49" s="101"/>
      <c r="H49" s="108"/>
      <c r="I49" s="100"/>
      <c r="J49" s="100"/>
      <c r="K49" s="110"/>
      <c r="L49" s="108"/>
      <c r="M49" s="100"/>
      <c r="N49" s="100"/>
      <c r="O49" s="1"/>
      <c r="P49" s="8"/>
      <c r="Q49" s="1"/>
      <c r="R49" s="1"/>
      <c r="S49" s="1"/>
      <c r="T49" s="1"/>
      <c r="U49" s="93"/>
      <c r="V49" s="93"/>
      <c r="W49" s="93"/>
      <c r="X49" s="1"/>
    </row>
    <row r="50" customFormat="false" ht="16.5" hidden="false" customHeight="true" outlineLevel="0" collapsed="false">
      <c r="A50" s="98"/>
      <c r="B50" s="98"/>
      <c r="C50" s="99"/>
      <c r="D50" s="101"/>
      <c r="E50" s="101" t="n">
        <v>557</v>
      </c>
      <c r="F50" s="117" t="s">
        <v>85</v>
      </c>
      <c r="G50" s="101"/>
      <c r="H50" s="108"/>
      <c r="I50" s="100"/>
      <c r="J50" s="100"/>
      <c r="K50" s="110"/>
      <c r="L50" s="101"/>
      <c r="M50" s="113"/>
      <c r="N50" s="113"/>
      <c r="O50" s="1"/>
      <c r="P50" s="8"/>
      <c r="Q50" s="1"/>
      <c r="R50" s="1"/>
      <c r="S50" s="1"/>
      <c r="T50" s="1"/>
      <c r="U50" s="93" t="s">
        <v>40</v>
      </c>
      <c r="V50" s="93"/>
      <c r="W50" s="93"/>
      <c r="X50" s="1"/>
    </row>
    <row r="51" customFormat="false" ht="22.5" hidden="false" customHeight="true" outlineLevel="0" collapsed="false">
      <c r="A51" s="98"/>
      <c r="B51" s="98"/>
      <c r="C51" s="99"/>
      <c r="D51" s="101"/>
      <c r="E51" s="101" t="n">
        <v>243</v>
      </c>
      <c r="F51" s="117" t="s">
        <v>85</v>
      </c>
      <c r="G51" s="101"/>
      <c r="H51" s="108"/>
      <c r="I51" s="118"/>
      <c r="J51" s="119"/>
      <c r="K51" s="110"/>
      <c r="L51" s="101"/>
      <c r="M51" s="118"/>
      <c r="N51" s="120"/>
      <c r="O51" s="1"/>
      <c r="P51" s="8"/>
      <c r="Q51" s="1"/>
      <c r="R51" s="1"/>
      <c r="S51" s="1"/>
      <c r="T51" s="1"/>
      <c r="U51" s="1"/>
      <c r="V51" s="1"/>
      <c r="W51" s="1"/>
      <c r="X51" s="1"/>
    </row>
    <row r="52" customFormat="false" ht="15.75" hidden="false" customHeight="true" outlineLevel="0" collapsed="false">
      <c r="A52" s="98"/>
      <c r="B52" s="98"/>
      <c r="C52" s="99"/>
      <c r="D52" s="101" t="n">
        <v>830</v>
      </c>
      <c r="E52" s="101"/>
      <c r="F52" s="117" t="s">
        <v>86</v>
      </c>
      <c r="G52" s="101"/>
      <c r="H52" s="108"/>
      <c r="I52" s="113"/>
      <c r="J52" s="121"/>
      <c r="K52" s="110"/>
      <c r="L52" s="101"/>
      <c r="M52" s="118"/>
      <c r="N52" s="120"/>
      <c r="O52" s="1"/>
      <c r="P52" s="8"/>
      <c r="Q52" s="1"/>
      <c r="R52" s="1"/>
      <c r="S52" s="1"/>
      <c r="T52" s="1"/>
      <c r="U52" s="1"/>
      <c r="V52" s="1"/>
      <c r="W52" s="1"/>
      <c r="X52" s="1"/>
    </row>
    <row r="53" customFormat="false" ht="15.75" hidden="false" customHeight="true" outlineLevel="0" collapsed="false">
      <c r="A53" s="98"/>
      <c r="B53" s="98"/>
      <c r="C53" s="99"/>
      <c r="D53" s="101"/>
      <c r="E53" s="101" t="n">
        <v>420</v>
      </c>
      <c r="F53" s="117" t="s">
        <v>87</v>
      </c>
      <c r="G53" s="101"/>
      <c r="H53" s="108"/>
      <c r="I53" s="100"/>
      <c r="J53" s="122"/>
      <c r="K53" s="110"/>
      <c r="L53" s="101"/>
      <c r="M53" s="118"/>
      <c r="N53" s="120"/>
      <c r="O53" s="1"/>
      <c r="P53" s="8"/>
      <c r="Q53" s="1"/>
      <c r="R53" s="1"/>
      <c r="S53" s="1"/>
      <c r="T53" s="1"/>
      <c r="U53" s="1"/>
      <c r="V53" s="1"/>
      <c r="W53" s="1"/>
      <c r="X53" s="1"/>
    </row>
    <row r="54" customFormat="false" ht="15.75" hidden="false" customHeight="true" outlineLevel="0" collapsed="false">
      <c r="A54" s="98"/>
      <c r="B54" s="98"/>
      <c r="C54" s="99"/>
      <c r="D54" s="101"/>
      <c r="E54" s="101" t="n">
        <v>516</v>
      </c>
      <c r="F54" s="117" t="s">
        <v>88</v>
      </c>
      <c r="G54" s="101"/>
      <c r="H54" s="101"/>
      <c r="I54" s="113"/>
      <c r="J54" s="121"/>
      <c r="K54" s="101"/>
      <c r="L54" s="101"/>
      <c r="M54" s="118"/>
      <c r="N54" s="120"/>
      <c r="O54" s="1"/>
      <c r="P54" s="8"/>
      <c r="Q54" s="1"/>
      <c r="R54" s="1"/>
      <c r="S54" s="1"/>
      <c r="T54" s="1"/>
      <c r="U54" s="1"/>
      <c r="V54" s="1"/>
      <c r="W54" s="1"/>
      <c r="X54" s="1"/>
    </row>
    <row r="55" customFormat="false" ht="15.75" hidden="false" customHeight="true" outlineLevel="0" collapsed="false">
      <c r="A55" s="98"/>
      <c r="B55" s="98"/>
      <c r="C55" s="99"/>
      <c r="D55" s="101"/>
      <c r="E55" s="101" t="n">
        <v>600</v>
      </c>
      <c r="F55" s="117" t="s">
        <v>39</v>
      </c>
      <c r="G55" s="101"/>
      <c r="H55" s="101"/>
      <c r="I55" s="100"/>
      <c r="J55" s="122"/>
      <c r="K55" s="101"/>
      <c r="L55" s="101"/>
      <c r="M55" s="118"/>
      <c r="N55" s="120"/>
      <c r="O55" s="1"/>
      <c r="P55" s="8"/>
      <c r="Q55" s="1"/>
      <c r="R55" s="1"/>
      <c r="S55" s="1"/>
      <c r="T55" s="1"/>
      <c r="U55" s="1"/>
      <c r="V55" s="1"/>
      <c r="W55" s="1"/>
      <c r="X55" s="1"/>
    </row>
    <row r="56" customFormat="false" ht="15.75" hidden="false" customHeight="true" outlineLevel="0" collapsed="false">
      <c r="A56" s="98"/>
      <c r="B56" s="98"/>
      <c r="C56" s="99"/>
      <c r="D56" s="101" t="n">
        <v>520</v>
      </c>
      <c r="E56" s="101"/>
      <c r="F56" s="117" t="s">
        <v>89</v>
      </c>
      <c r="G56" s="101"/>
      <c r="H56" s="101"/>
      <c r="I56" s="100"/>
      <c r="J56" s="122"/>
      <c r="K56" s="101"/>
      <c r="L56" s="101"/>
      <c r="M56" s="118"/>
      <c r="N56" s="120"/>
      <c r="O56" s="1"/>
      <c r="P56" s="8"/>
      <c r="Q56" s="1"/>
      <c r="R56" s="1"/>
      <c r="S56" s="1"/>
      <c r="T56" s="1"/>
      <c r="U56" s="1"/>
      <c r="V56" s="1"/>
      <c r="W56" s="1"/>
      <c r="X56" s="1"/>
    </row>
    <row r="57" customFormat="false" ht="15.75" hidden="false" customHeight="true" outlineLevel="0" collapsed="false">
      <c r="A57" s="98"/>
      <c r="B57" s="98"/>
      <c r="C57" s="99"/>
      <c r="D57" s="101"/>
      <c r="E57" s="101" t="n">
        <v>625</v>
      </c>
      <c r="F57" s="117" t="n">
        <v>610</v>
      </c>
      <c r="G57" s="101"/>
      <c r="H57" s="101"/>
      <c r="I57" s="100"/>
      <c r="J57" s="122"/>
      <c r="K57" s="101"/>
      <c r="L57" s="101"/>
      <c r="M57" s="118"/>
      <c r="N57" s="120"/>
      <c r="O57" s="1"/>
      <c r="P57" s="8"/>
      <c r="Q57" s="1"/>
      <c r="R57" s="1"/>
      <c r="S57" s="1"/>
      <c r="T57" s="1"/>
      <c r="U57" s="1"/>
      <c r="V57" s="1"/>
      <c r="W57" s="1"/>
      <c r="X57" s="1"/>
    </row>
    <row r="58" customFormat="false" ht="15.75" hidden="false" customHeight="true" outlineLevel="0" collapsed="false">
      <c r="A58" s="98"/>
      <c r="B58" s="98"/>
      <c r="C58" s="99"/>
      <c r="D58" s="101"/>
      <c r="E58" s="101" t="n">
        <v>265</v>
      </c>
      <c r="F58" s="117" t="n">
        <v>707</v>
      </c>
      <c r="G58" s="101"/>
      <c r="H58" s="101"/>
      <c r="I58" s="100"/>
      <c r="J58" s="122"/>
      <c r="K58" s="101"/>
      <c r="L58" s="101"/>
      <c r="M58" s="118"/>
      <c r="N58" s="120"/>
      <c r="O58" s="1"/>
      <c r="P58" s="8"/>
      <c r="Q58" s="1"/>
      <c r="R58" s="1"/>
      <c r="S58" s="1"/>
      <c r="T58" s="1"/>
      <c r="U58" s="1"/>
      <c r="V58" s="1"/>
      <c r="W58" s="1"/>
      <c r="X58" s="1"/>
    </row>
    <row r="59" customFormat="false" ht="15.75" hidden="false" customHeight="true" outlineLevel="0" collapsed="false">
      <c r="A59" s="98"/>
      <c r="B59" s="98"/>
      <c r="C59" s="99"/>
      <c r="D59" s="123" t="n">
        <f aca="false">SUM(D40:D58)</f>
        <v>6990</v>
      </c>
      <c r="E59" s="123" t="n">
        <f aca="false">SUM(E40:E58)</f>
        <v>5831</v>
      </c>
      <c r="F59" s="117"/>
      <c r="G59" s="123" t="n">
        <f aca="false">SUM(G40:G58)</f>
        <v>1390</v>
      </c>
      <c r="H59" s="123" t="n">
        <f aca="false">SUM(H40:H58)</f>
        <v>1100</v>
      </c>
      <c r="I59" s="100"/>
      <c r="J59" s="100"/>
      <c r="K59" s="101" t="n">
        <f aca="false">SUM(K40:K58)</f>
        <v>0</v>
      </c>
      <c r="L59" s="101" t="n">
        <f aca="false">SUM(L40:L58)</f>
        <v>0</v>
      </c>
      <c r="M59" s="100"/>
      <c r="N59" s="100"/>
      <c r="O59" s="1"/>
      <c r="P59" s="8"/>
      <c r="Q59" s="1"/>
      <c r="R59" s="1"/>
      <c r="S59" s="1"/>
      <c r="T59" s="1"/>
      <c r="U59" s="1"/>
      <c r="V59" s="1"/>
      <c r="W59" s="1"/>
      <c r="X59" s="1"/>
    </row>
    <row r="60" customFormat="false" ht="15.75" hidden="false" customHeight="true" outlineLevel="0" collapsed="false">
      <c r="A60" s="1"/>
      <c r="B60" s="1"/>
      <c r="C60" s="1"/>
      <c r="D60" s="1"/>
      <c r="E60" s="1"/>
      <c r="F60" s="8"/>
      <c r="G60" s="8"/>
      <c r="H60" s="1"/>
      <c r="I60" s="2"/>
      <c r="J60" s="1"/>
      <c r="K60" s="83"/>
      <c r="L60" s="83"/>
      <c r="M60" s="124"/>
      <c r="N60" s="124"/>
      <c r="O60" s="1"/>
      <c r="P60" s="8"/>
      <c r="Q60" s="1"/>
      <c r="R60" s="1"/>
      <c r="S60" s="1"/>
      <c r="T60" s="1"/>
      <c r="U60" s="1"/>
      <c r="V60" s="1"/>
      <c r="W60" s="1"/>
      <c r="X60" s="1"/>
    </row>
    <row r="61" customFormat="false" ht="15.75" hidden="false" customHeight="true" outlineLevel="0" collapsed="false">
      <c r="A61" s="1"/>
      <c r="B61" s="1"/>
      <c r="C61" s="1"/>
      <c r="D61" s="1"/>
      <c r="E61" s="1"/>
      <c r="F61" s="8"/>
      <c r="G61" s="8"/>
      <c r="H61" s="1"/>
      <c r="I61" s="2"/>
      <c r="J61" s="1"/>
      <c r="K61" s="83"/>
      <c r="L61" s="83"/>
      <c r="M61" s="124"/>
      <c r="N61" s="124"/>
      <c r="O61" s="1"/>
      <c r="P61" s="8"/>
      <c r="Q61" s="1"/>
      <c r="R61" s="1"/>
      <c r="S61" s="1"/>
      <c r="T61" s="1"/>
      <c r="U61" s="1"/>
      <c r="V61" s="1"/>
      <c r="W61" s="1"/>
      <c r="X61" s="1"/>
    </row>
    <row r="62" customFormat="false" ht="15.75" hidden="false" customHeight="true" outlineLevel="0" collapsed="false">
      <c r="A62" s="1"/>
      <c r="B62" s="1"/>
      <c r="C62" s="1"/>
      <c r="D62" s="1"/>
      <c r="E62" s="1"/>
      <c r="F62" s="8"/>
      <c r="G62" s="8"/>
      <c r="H62" s="1"/>
      <c r="I62" s="2"/>
      <c r="J62" s="1"/>
      <c r="K62" s="83"/>
      <c r="L62" s="83"/>
      <c r="M62" s="124"/>
      <c r="N62" s="124"/>
      <c r="O62" s="1"/>
      <c r="P62" s="8"/>
      <c r="Q62" s="1"/>
      <c r="R62" s="1"/>
      <c r="S62" s="1"/>
      <c r="T62" s="1"/>
      <c r="U62" s="1"/>
      <c r="V62" s="1"/>
      <c r="W62" s="1"/>
      <c r="X62" s="1"/>
    </row>
    <row r="63" customFormat="false" ht="15.75" hidden="false" customHeight="true" outlineLevel="0" collapsed="false">
      <c r="A63" s="1"/>
      <c r="B63" s="1"/>
      <c r="C63" s="1"/>
      <c r="D63" s="1"/>
      <c r="E63" s="1"/>
      <c r="F63" s="8"/>
      <c r="G63" s="8"/>
      <c r="H63" s="1"/>
      <c r="I63" s="2"/>
      <c r="J63" s="1"/>
      <c r="K63" s="125"/>
      <c r="L63" s="125"/>
      <c r="M63" s="124"/>
      <c r="N63" s="124"/>
      <c r="O63" s="1"/>
      <c r="P63" s="8"/>
      <c r="Q63" s="1"/>
      <c r="R63" s="1"/>
      <c r="S63" s="1"/>
      <c r="T63" s="1"/>
      <c r="U63" s="1"/>
      <c r="V63" s="1"/>
      <c r="W63" s="1"/>
      <c r="X63" s="1"/>
    </row>
    <row r="64" customFormat="false" ht="15.75" hidden="false" customHeight="true" outlineLevel="0" collapsed="false">
      <c r="A64" s="1"/>
      <c r="B64" s="1"/>
      <c r="C64" s="1"/>
      <c r="D64" s="1"/>
      <c r="E64" s="1"/>
      <c r="F64" s="8"/>
      <c r="G64" s="8"/>
      <c r="H64" s="1"/>
      <c r="I64" s="2"/>
      <c r="J64" s="1"/>
      <c r="K64" s="2"/>
      <c r="L64" s="1"/>
      <c r="M64" s="1"/>
      <c r="N64" s="1"/>
      <c r="O64" s="1"/>
      <c r="P64" s="8"/>
      <c r="Q64" s="1"/>
      <c r="R64" s="1"/>
      <c r="S64" s="1"/>
      <c r="T64" s="1"/>
      <c r="U64" s="1"/>
      <c r="V64" s="1"/>
      <c r="W64" s="1"/>
      <c r="X64" s="1"/>
    </row>
    <row r="65" customFormat="false" ht="15.75" hidden="false" customHeight="true" outlineLevel="0" collapsed="false">
      <c r="A65" s="1"/>
      <c r="B65" s="1"/>
      <c r="C65" s="1"/>
      <c r="D65" s="1"/>
      <c r="E65" s="1"/>
      <c r="F65" s="8"/>
      <c r="G65" s="8"/>
      <c r="H65" s="1"/>
      <c r="I65" s="2"/>
      <c r="J65" s="1"/>
      <c r="K65" s="2"/>
      <c r="L65" s="1"/>
      <c r="M65" s="1"/>
      <c r="N65" s="1"/>
      <c r="O65" s="1"/>
      <c r="P65" s="8"/>
      <c r="Q65" s="1"/>
      <c r="R65" s="1"/>
      <c r="S65" s="1"/>
      <c r="T65" s="1"/>
      <c r="U65" s="1"/>
      <c r="V65" s="1"/>
      <c r="W65" s="1"/>
      <c r="X65" s="1"/>
    </row>
    <row r="66" customFormat="false" ht="15.75" hidden="false" customHeight="true" outlineLevel="0" collapsed="false">
      <c r="A66" s="1"/>
      <c r="B66" s="1"/>
      <c r="C66" s="1"/>
      <c r="D66" s="1"/>
      <c r="E66" s="1"/>
      <c r="F66" s="8"/>
      <c r="G66" s="8"/>
      <c r="H66" s="1"/>
      <c r="I66" s="2"/>
      <c r="J66" s="1"/>
      <c r="K66" s="2"/>
      <c r="L66" s="1"/>
      <c r="M66" s="1"/>
      <c r="N66" s="1"/>
      <c r="O66" s="1"/>
      <c r="P66" s="8"/>
      <c r="Q66" s="1"/>
      <c r="R66" s="1"/>
      <c r="S66" s="1"/>
      <c r="T66" s="1"/>
      <c r="U66" s="1"/>
      <c r="V66" s="1"/>
      <c r="W66" s="1"/>
      <c r="X66" s="1"/>
    </row>
    <row r="67" customFormat="false" ht="15.75" hidden="false" customHeight="true" outlineLevel="0" collapsed="false">
      <c r="A67" s="1"/>
      <c r="B67" s="1"/>
      <c r="C67" s="1"/>
      <c r="D67" s="1"/>
      <c r="E67" s="1"/>
      <c r="F67" s="8"/>
      <c r="G67" s="8"/>
      <c r="H67" s="1"/>
      <c r="I67" s="2"/>
      <c r="J67" s="1"/>
      <c r="K67" s="2"/>
      <c r="L67" s="1"/>
      <c r="M67" s="1"/>
      <c r="N67" s="1"/>
      <c r="O67" s="1"/>
      <c r="P67" s="8"/>
      <c r="Q67" s="1"/>
      <c r="R67" s="1"/>
      <c r="S67" s="1"/>
      <c r="T67" s="1"/>
      <c r="U67" s="1"/>
      <c r="V67" s="1"/>
      <c r="W67" s="1"/>
      <c r="X67" s="1"/>
    </row>
    <row r="68" customFormat="false" ht="15.75" hidden="false" customHeight="true" outlineLevel="0" collapsed="false">
      <c r="A68" s="1"/>
      <c r="B68" s="1"/>
      <c r="C68" s="1"/>
      <c r="D68" s="1"/>
      <c r="E68" s="1"/>
      <c r="F68" s="8"/>
      <c r="G68" s="8"/>
      <c r="H68" s="1"/>
      <c r="I68" s="2"/>
      <c r="J68" s="1"/>
      <c r="K68" s="2"/>
      <c r="L68" s="1"/>
      <c r="M68" s="1"/>
      <c r="N68" s="1"/>
      <c r="O68" s="1"/>
      <c r="P68" s="8"/>
      <c r="Q68" s="1"/>
      <c r="R68" s="1"/>
      <c r="S68" s="1"/>
      <c r="T68" s="1"/>
      <c r="U68" s="1"/>
      <c r="V68" s="1"/>
      <c r="W68" s="1"/>
      <c r="X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8"/>
      <c r="G69" s="8"/>
      <c r="H69" s="1"/>
      <c r="I69" s="2"/>
      <c r="J69" s="1"/>
      <c r="K69" s="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customFormat="false" ht="15.75" hidden="false" customHeight="true" outlineLevel="0" collapsed="false">
      <c r="A70" s="1"/>
      <c r="B70" s="1"/>
      <c r="C70" s="1"/>
      <c r="D70" s="1"/>
      <c r="E70" s="1"/>
      <c r="F70" s="8"/>
      <c r="G70" s="8"/>
      <c r="H70" s="1"/>
      <c r="I70" s="2"/>
      <c r="J70" s="1"/>
      <c r="K70" s="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customFormat="false" ht="15.75" hidden="false" customHeight="true" outlineLevel="0" collapsed="false">
      <c r="A71" s="1"/>
      <c r="B71" s="1"/>
      <c r="C71" s="1"/>
      <c r="D71" s="1"/>
      <c r="E71" s="1"/>
      <c r="F71" s="8"/>
      <c r="G71" s="8"/>
      <c r="H71" s="1"/>
      <c r="I71" s="2"/>
      <c r="J71" s="1"/>
      <c r="K71" s="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customFormat="false" ht="15.75" hidden="false" customHeight="true" outlineLevel="0" collapsed="false">
      <c r="A72" s="1"/>
      <c r="B72" s="1"/>
      <c r="C72" s="1"/>
      <c r="D72" s="1"/>
      <c r="E72" s="1"/>
      <c r="F72" s="8"/>
      <c r="G72" s="8"/>
      <c r="H72" s="1"/>
      <c r="I72" s="2"/>
      <c r="J72" s="1"/>
      <c r="K72" s="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customFormat="false" ht="15.75" hidden="false" customHeight="true" outlineLevel="0" collapsed="false">
      <c r="A73" s="1"/>
      <c r="B73" s="1"/>
      <c r="C73" s="1"/>
      <c r="D73" s="1"/>
      <c r="E73" s="1"/>
      <c r="F73" s="8"/>
      <c r="G73" s="8"/>
      <c r="H73" s="1"/>
      <c r="I73" s="2"/>
      <c r="J73" s="1"/>
      <c r="K73" s="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customFormat="false" ht="15.75" hidden="false" customHeight="true" outlineLevel="0" collapsed="false">
      <c r="A74" s="1"/>
      <c r="B74" s="1"/>
      <c r="C74" s="1"/>
      <c r="D74" s="1"/>
      <c r="E74" s="1"/>
      <c r="F74" s="8"/>
      <c r="G74" s="8"/>
      <c r="H74" s="1"/>
      <c r="I74" s="2"/>
      <c r="J74" s="1"/>
      <c r="K74" s="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customFormat="false" ht="15.75" hidden="false" customHeight="true" outlineLevel="0" collapsed="false">
      <c r="A75" s="1"/>
      <c r="B75" s="1"/>
      <c r="C75" s="1"/>
      <c r="D75" s="1"/>
      <c r="E75" s="1"/>
      <c r="F75" s="8"/>
      <c r="G75" s="8"/>
      <c r="H75" s="1"/>
      <c r="I75" s="2"/>
      <c r="J75" s="1"/>
      <c r="K75" s="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customFormat="false" ht="15.75" hidden="false" customHeight="true" outlineLevel="0" collapsed="false">
      <c r="A76" s="1"/>
      <c r="B76" s="1"/>
      <c r="C76" s="1"/>
      <c r="D76" s="1"/>
      <c r="E76" s="1"/>
      <c r="F76" s="8"/>
      <c r="G76" s="8"/>
      <c r="H76" s="1"/>
      <c r="I76" s="2"/>
      <c r="J76" s="1"/>
      <c r="K76" s="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2"/>
      <c r="J77" s="1"/>
      <c r="K77" s="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2"/>
      <c r="J78" s="1"/>
      <c r="K78" s="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2"/>
      <c r="J79" s="1"/>
      <c r="K79" s="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2"/>
      <c r="J80" s="1"/>
      <c r="K80" s="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2"/>
      <c r="J81" s="1"/>
      <c r="K81" s="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2"/>
      <c r="J82" s="1"/>
      <c r="K82" s="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2"/>
      <c r="J83" s="1"/>
      <c r="K83" s="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2"/>
      <c r="J84" s="1"/>
      <c r="K84" s="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2"/>
      <c r="J85" s="1"/>
      <c r="K85" s="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2"/>
      <c r="J86" s="1"/>
      <c r="K86" s="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2"/>
      <c r="J87" s="1"/>
      <c r="K87" s="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2"/>
      <c r="J88" s="1"/>
      <c r="K88" s="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2"/>
      <c r="J89" s="1"/>
      <c r="K89" s="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2"/>
      <c r="J90" s="1"/>
      <c r="K90" s="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2"/>
      <c r="J91" s="1"/>
      <c r="K91" s="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2"/>
      <c r="J92" s="1"/>
      <c r="K92" s="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2"/>
      <c r="J93" s="1"/>
      <c r="K93" s="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2"/>
      <c r="J94" s="1"/>
      <c r="K94" s="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2"/>
      <c r="J95" s="1"/>
      <c r="K95" s="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2"/>
      <c r="J96" s="1"/>
      <c r="K96" s="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2"/>
      <c r="J97" s="1"/>
      <c r="K97" s="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2"/>
      <c r="J98" s="1"/>
      <c r="K98" s="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2"/>
      <c r="J99" s="1"/>
      <c r="K99" s="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2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2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2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2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2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2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2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2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2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2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2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2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2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2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2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2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2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2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2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2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2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2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2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2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2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2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2"/>
      <c r="L252" s="1"/>
      <c r="M252" s="1"/>
      <c r="N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2"/>
      <c r="L253" s="1"/>
      <c r="M253" s="1"/>
      <c r="N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2"/>
      <c r="L254" s="1"/>
      <c r="M254" s="1"/>
      <c r="N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2"/>
      <c r="L255" s="1"/>
      <c r="M255" s="1"/>
      <c r="N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2"/>
      <c r="L256" s="1"/>
      <c r="M256" s="1"/>
      <c r="N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2"/>
      <c r="L257" s="1"/>
      <c r="M257" s="1"/>
      <c r="N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2"/>
      <c r="L258" s="1"/>
      <c r="M258" s="1"/>
      <c r="N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2"/>
      <c r="L259" s="1"/>
      <c r="M259" s="1"/>
      <c r="N259" s="1"/>
    </row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4">
    <mergeCell ref="F2:F3"/>
    <mergeCell ref="H2:J2"/>
    <mergeCell ref="L2:O2"/>
    <mergeCell ref="Q2:S2"/>
    <mergeCell ref="U2:X2"/>
    <mergeCell ref="D3:E3"/>
    <mergeCell ref="B23:D27"/>
    <mergeCell ref="H23:J23"/>
    <mergeCell ref="L23:O23"/>
    <mergeCell ref="Q23:S23"/>
    <mergeCell ref="U23:X23"/>
    <mergeCell ref="B28:D32"/>
    <mergeCell ref="A34:C34"/>
    <mergeCell ref="A36:B36"/>
    <mergeCell ref="A39:B59"/>
    <mergeCell ref="C39:C5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I49:J49"/>
    <mergeCell ref="M49:N49"/>
    <mergeCell ref="I50:J50"/>
    <mergeCell ref="I59:J59"/>
    <mergeCell ref="M59:N59"/>
    <mergeCell ref="M60:N60"/>
    <mergeCell ref="M61:N61"/>
    <mergeCell ref="M62:N62"/>
    <mergeCell ref="M63:N6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sheetData>
    <row r="1" customFormat="false" ht="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5.75" hidden="true" customHeight="true" outlineLevel="0" collapsed="false">
      <c r="A2" s="3" t="s">
        <v>1</v>
      </c>
      <c r="B2" s="4"/>
      <c r="C2" s="5"/>
      <c r="D2" s="5" t="s">
        <v>2</v>
      </c>
      <c r="E2" s="6"/>
      <c r="F2" s="7" t="s">
        <v>3</v>
      </c>
      <c r="G2" s="8"/>
      <c r="H2" s="8"/>
      <c r="I2" s="9" t="s">
        <v>4</v>
      </c>
      <c r="J2" s="9"/>
      <c r="K2" s="9"/>
      <c r="L2" s="10"/>
      <c r="M2" s="11" t="s">
        <v>5</v>
      </c>
      <c r="N2" s="11"/>
      <c r="O2" s="11"/>
      <c r="P2" s="11"/>
      <c r="Q2" s="12"/>
      <c r="R2" s="13" t="s">
        <v>6</v>
      </c>
      <c r="S2" s="13"/>
      <c r="T2" s="13"/>
      <c r="U2" s="14"/>
      <c r="V2" s="15" t="s">
        <v>5</v>
      </c>
      <c r="W2" s="15"/>
      <c r="X2" s="15"/>
      <c r="Y2" s="15"/>
    </row>
    <row r="3" customFormat="false" ht="15.75" hidden="false" customHeight="true" outlineLevel="0" collapsed="false">
      <c r="A3" s="16"/>
      <c r="B3" s="17"/>
      <c r="C3" s="18"/>
      <c r="D3" s="19" t="s">
        <v>7</v>
      </c>
      <c r="E3" s="19"/>
      <c r="F3" s="7"/>
      <c r="G3" s="8"/>
      <c r="H3" s="8"/>
      <c r="I3" s="20"/>
      <c r="J3" s="21"/>
      <c r="K3" s="22"/>
      <c r="L3" s="23"/>
      <c r="M3" s="12"/>
      <c r="N3" s="24"/>
      <c r="O3" s="24"/>
      <c r="P3" s="25"/>
      <c r="Q3" s="12"/>
      <c r="R3" s="20"/>
      <c r="S3" s="22"/>
      <c r="T3" s="22"/>
      <c r="U3" s="12"/>
      <c r="V3" s="12"/>
      <c r="W3" s="24"/>
      <c r="X3" s="24"/>
      <c r="Y3" s="25"/>
    </row>
    <row r="4" customFormat="false" ht="15.75" hidden="false" customHeight="true" outlineLevel="0" collapsed="false">
      <c r="A4" s="26" t="s">
        <v>8</v>
      </c>
      <c r="B4" s="27"/>
      <c r="C4" s="28"/>
      <c r="D4" s="28"/>
      <c r="E4" s="29" t="n">
        <v>2000</v>
      </c>
      <c r="F4" s="30" t="n">
        <f aca="false">SUM(B4:E4)</f>
        <v>2000</v>
      </c>
      <c r="G4" s="8"/>
      <c r="H4" s="8"/>
      <c r="I4" s="31" t="s">
        <v>9</v>
      </c>
      <c r="J4" s="32" t="s">
        <v>10</v>
      </c>
      <c r="K4" s="33" t="s">
        <v>11</v>
      </c>
      <c r="L4" s="32" t="s">
        <v>12</v>
      </c>
      <c r="M4" s="34" t="s">
        <v>13</v>
      </c>
      <c r="N4" s="34" t="s">
        <v>14</v>
      </c>
      <c r="O4" s="34" t="s">
        <v>15</v>
      </c>
      <c r="P4" s="35" t="s">
        <v>16</v>
      </c>
      <c r="Q4" s="12"/>
      <c r="R4" s="31" t="s">
        <v>9</v>
      </c>
      <c r="S4" s="32" t="s">
        <v>10</v>
      </c>
      <c r="T4" s="33" t="s">
        <v>11</v>
      </c>
      <c r="U4" s="32" t="s">
        <v>12</v>
      </c>
      <c r="V4" s="34" t="s">
        <v>13</v>
      </c>
      <c r="W4" s="34" t="s">
        <v>14</v>
      </c>
      <c r="X4" s="34" t="s">
        <v>15</v>
      </c>
      <c r="Y4" s="35" t="s">
        <v>16</v>
      </c>
    </row>
    <row r="5" customFormat="false" ht="15.75" hidden="false" customHeight="true" outlineLevel="0" collapsed="false">
      <c r="A5" s="36"/>
      <c r="B5" s="37" t="n">
        <v>3208</v>
      </c>
      <c r="C5" s="38" t="n">
        <v>20789</v>
      </c>
      <c r="D5" s="39" t="n">
        <v>1116</v>
      </c>
      <c r="E5" s="37" t="n">
        <v>5787</v>
      </c>
      <c r="F5" s="40" t="n">
        <v>1833</v>
      </c>
      <c r="G5" s="8"/>
      <c r="H5" s="8"/>
      <c r="I5" s="41" t="n">
        <v>23340</v>
      </c>
      <c r="J5" s="42" t="s">
        <v>90</v>
      </c>
      <c r="K5" s="43" t="n">
        <v>500</v>
      </c>
      <c r="L5" s="132" t="n">
        <f aca="false">SUM(K5*90/100)</f>
        <v>450</v>
      </c>
      <c r="M5" s="45" t="n">
        <v>5</v>
      </c>
      <c r="N5" s="44" t="n">
        <f aca="false">L5-M5</f>
        <v>445</v>
      </c>
      <c r="O5" s="46" t="s">
        <v>43</v>
      </c>
      <c r="P5" s="47" t="s">
        <v>91</v>
      </c>
      <c r="Q5" s="12"/>
      <c r="R5" s="41" t="n">
        <v>24120</v>
      </c>
      <c r="S5" s="42" t="s">
        <v>92</v>
      </c>
      <c r="T5" s="43" t="n">
        <v>1300</v>
      </c>
      <c r="U5" s="133" t="n">
        <f aca="false">SUM(T5*90/100)</f>
        <v>1170</v>
      </c>
      <c r="V5" s="45" t="n">
        <v>5</v>
      </c>
      <c r="W5" s="48" t="n">
        <f aca="false">U5-V5</f>
        <v>1165</v>
      </c>
      <c r="X5" s="46" t="s">
        <v>47</v>
      </c>
      <c r="Y5" s="47" t="s">
        <v>48</v>
      </c>
    </row>
    <row r="6" customFormat="false" ht="15.75" hidden="false" customHeight="true" outlineLevel="0" collapsed="false">
      <c r="A6" s="49"/>
      <c r="B6" s="50" t="n">
        <v>265</v>
      </c>
      <c r="C6" s="51" t="n">
        <v>1093</v>
      </c>
      <c r="D6" s="51" t="n">
        <v>4808</v>
      </c>
      <c r="E6" s="50" t="n">
        <v>2815</v>
      </c>
      <c r="F6" s="52" t="n">
        <v>200</v>
      </c>
      <c r="G6" s="8"/>
      <c r="H6" s="8"/>
      <c r="I6" s="41" t="n">
        <v>23314</v>
      </c>
      <c r="J6" s="42" t="s">
        <v>93</v>
      </c>
      <c r="K6" s="43" t="n">
        <v>50</v>
      </c>
      <c r="L6" s="132" t="n">
        <f aca="false">SUM(K6*90/100)</f>
        <v>45</v>
      </c>
      <c r="M6" s="45" t="n">
        <v>5</v>
      </c>
      <c r="N6" s="44" t="n">
        <f aca="false">L6-M6</f>
        <v>40</v>
      </c>
      <c r="O6" s="46" t="s">
        <v>50</v>
      </c>
      <c r="P6" s="47" t="s">
        <v>73</v>
      </c>
      <c r="Q6" s="12"/>
      <c r="R6" s="41" t="s">
        <v>45</v>
      </c>
      <c r="S6" s="42" t="s">
        <v>46</v>
      </c>
      <c r="T6" s="43" t="n">
        <v>300</v>
      </c>
      <c r="U6" s="133" t="n">
        <f aca="false">SUM(T6*90/100)</f>
        <v>270</v>
      </c>
      <c r="V6" s="45" t="n">
        <v>5</v>
      </c>
      <c r="W6" s="48" t="n">
        <f aca="false">U6-V6</f>
        <v>265</v>
      </c>
      <c r="X6" s="46" t="s">
        <v>47</v>
      </c>
      <c r="Y6" s="47" t="s">
        <v>73</v>
      </c>
    </row>
    <row r="7" customFormat="false" ht="15.75" hidden="false" customHeight="true" outlineLevel="0" collapsed="false">
      <c r="A7" s="53" t="s">
        <v>17</v>
      </c>
      <c r="B7" s="54" t="n">
        <f aca="false">C39</f>
        <v>5481</v>
      </c>
      <c r="C7" s="55" t="n">
        <v>100</v>
      </c>
      <c r="D7" s="56" t="s">
        <v>18</v>
      </c>
      <c r="E7" s="57"/>
      <c r="F7" s="58" t="n">
        <f aca="false">SUM(A5:F6)</f>
        <v>41914</v>
      </c>
      <c r="G7" s="8"/>
      <c r="H7" s="8"/>
      <c r="I7" s="126" t="s">
        <v>94</v>
      </c>
      <c r="J7" s="127" t="s">
        <v>95</v>
      </c>
      <c r="K7" s="128" t="n">
        <v>1500</v>
      </c>
      <c r="L7" s="134" t="n">
        <f aca="false">SUM(K7*90/100)</f>
        <v>1350</v>
      </c>
      <c r="M7" s="130" t="n">
        <v>50</v>
      </c>
      <c r="N7" s="135" t="n">
        <f aca="false">L7-M7</f>
        <v>1300</v>
      </c>
      <c r="O7" s="129" t="s">
        <v>43</v>
      </c>
      <c r="P7" s="131" t="s">
        <v>96</v>
      </c>
      <c r="Q7" s="12"/>
      <c r="R7" s="41" t="s">
        <v>97</v>
      </c>
      <c r="S7" s="42" t="s">
        <v>98</v>
      </c>
      <c r="T7" s="43" t="n">
        <v>1000</v>
      </c>
      <c r="U7" s="133" t="n">
        <f aca="false">SUM(T7*90/100)</f>
        <v>900</v>
      </c>
      <c r="V7" s="45" t="n">
        <v>50</v>
      </c>
      <c r="W7" s="48" t="n">
        <f aca="false">U7-V7</f>
        <v>850</v>
      </c>
      <c r="X7" s="46" t="s">
        <v>47</v>
      </c>
      <c r="Y7" s="47" t="s">
        <v>51</v>
      </c>
    </row>
    <row r="8" customFormat="false" ht="15.75" hidden="false" customHeight="true" outlineLevel="0" collapsed="false">
      <c r="A8" s="16" t="s">
        <v>19</v>
      </c>
      <c r="B8" s="57"/>
      <c r="C8" s="55" t="n">
        <v>50</v>
      </c>
      <c r="D8" s="56" t="s">
        <v>18</v>
      </c>
      <c r="E8" s="37" t="n">
        <v>6350</v>
      </c>
      <c r="F8" s="40"/>
      <c r="G8" s="8"/>
      <c r="H8" s="8"/>
      <c r="I8" s="41" t="n">
        <v>23038</v>
      </c>
      <c r="J8" s="42" t="s">
        <v>99</v>
      </c>
      <c r="K8" s="43" t="n">
        <v>100</v>
      </c>
      <c r="L8" s="132" t="n">
        <f aca="false">SUM(K8*90/100)</f>
        <v>90</v>
      </c>
      <c r="M8" s="45" t="n">
        <v>5</v>
      </c>
      <c r="N8" s="44" t="n">
        <f aca="false">L8-M8</f>
        <v>85</v>
      </c>
      <c r="O8" s="46" t="s">
        <v>43</v>
      </c>
      <c r="P8" s="47" t="s">
        <v>91</v>
      </c>
      <c r="Q8" s="12"/>
      <c r="R8" s="41" t="n">
        <v>23372</v>
      </c>
      <c r="S8" s="42" t="s">
        <v>56</v>
      </c>
      <c r="T8" s="43" t="n">
        <v>300</v>
      </c>
      <c r="U8" s="133" t="n">
        <f aca="false">SUM(T8*90/100)</f>
        <v>270</v>
      </c>
      <c r="V8" s="45" t="n">
        <v>5</v>
      </c>
      <c r="W8" s="48" t="n">
        <f aca="false">U8-V8</f>
        <v>265</v>
      </c>
      <c r="X8" s="46" t="s">
        <v>47</v>
      </c>
      <c r="Y8" s="47" t="s">
        <v>77</v>
      </c>
    </row>
    <row r="9" customFormat="false" ht="15.75" hidden="false" customHeight="true" outlineLevel="0" collapsed="false">
      <c r="A9" s="59" t="s">
        <v>62</v>
      </c>
      <c r="B9" s="57" t="n">
        <v>10</v>
      </c>
      <c r="C9" s="55" t="n">
        <v>10</v>
      </c>
      <c r="D9" s="56" t="s">
        <v>18</v>
      </c>
      <c r="E9" s="50" t="n">
        <v>2120</v>
      </c>
      <c r="F9" s="40"/>
      <c r="G9" s="8"/>
      <c r="H9" s="8"/>
      <c r="I9" s="41" t="s">
        <v>100</v>
      </c>
      <c r="J9" s="42" t="s">
        <v>101</v>
      </c>
      <c r="K9" s="43" t="n">
        <v>500</v>
      </c>
      <c r="L9" s="44" t="n">
        <f aca="false">SUM(K9*90/100)</f>
        <v>450</v>
      </c>
      <c r="M9" s="45" t="n">
        <v>5</v>
      </c>
      <c r="N9" s="44" t="n">
        <f aca="false">L9-M9</f>
        <v>445</v>
      </c>
      <c r="O9" s="46" t="s">
        <v>50</v>
      </c>
      <c r="P9" s="47" t="s">
        <v>102</v>
      </c>
      <c r="Q9" s="12"/>
      <c r="R9" s="41" t="n">
        <v>24096</v>
      </c>
      <c r="S9" s="42" t="s">
        <v>103</v>
      </c>
      <c r="T9" s="43" t="n">
        <v>250</v>
      </c>
      <c r="U9" s="132" t="n">
        <f aca="false">SUM(T9*90/100)</f>
        <v>225</v>
      </c>
      <c r="V9" s="45" t="n">
        <v>5</v>
      </c>
      <c r="W9" s="44" t="n">
        <f aca="false">U9-V9</f>
        <v>220</v>
      </c>
      <c r="X9" s="46" t="s">
        <v>47</v>
      </c>
      <c r="Y9" s="47" t="s">
        <v>51</v>
      </c>
    </row>
    <row r="10" customFormat="false" ht="15.75" hidden="false" customHeight="true" outlineLevel="0" collapsed="false">
      <c r="A10" s="59" t="s">
        <v>104</v>
      </c>
      <c r="B10" s="57" t="n">
        <v>155</v>
      </c>
      <c r="C10" s="55" t="n">
        <v>5</v>
      </c>
      <c r="D10" s="18" t="s">
        <v>18</v>
      </c>
      <c r="E10" s="50" t="n">
        <v>60</v>
      </c>
      <c r="F10" s="40"/>
      <c r="G10" s="8"/>
      <c r="H10" s="8"/>
      <c r="I10" s="41" t="n">
        <v>21206</v>
      </c>
      <c r="J10" s="42" t="s">
        <v>105</v>
      </c>
      <c r="K10" s="43" t="n">
        <v>500</v>
      </c>
      <c r="L10" s="44" t="n">
        <f aca="false">SUM(K10*90/100)</f>
        <v>450</v>
      </c>
      <c r="M10" s="45" t="n">
        <v>5</v>
      </c>
      <c r="N10" s="44" t="n">
        <f aca="false">L10-M10</f>
        <v>445</v>
      </c>
      <c r="O10" s="46" t="s">
        <v>50</v>
      </c>
      <c r="P10" s="47" t="s">
        <v>102</v>
      </c>
      <c r="Q10" s="12"/>
      <c r="R10" s="41" t="n">
        <v>22324</v>
      </c>
      <c r="S10" s="42" t="s">
        <v>106</v>
      </c>
      <c r="T10" s="43" t="n">
        <v>450</v>
      </c>
      <c r="U10" s="133" t="n">
        <f aca="false">SUM(T10*90/100)</f>
        <v>405</v>
      </c>
      <c r="V10" s="45" t="n">
        <v>5</v>
      </c>
      <c r="W10" s="48" t="n">
        <f aca="false">U10-V10</f>
        <v>400</v>
      </c>
      <c r="X10" s="46" t="s">
        <v>47</v>
      </c>
      <c r="Y10" s="47" t="s">
        <v>73</v>
      </c>
    </row>
    <row r="11" customFormat="false" ht="15.75" hidden="false" customHeight="true" outlineLevel="0" collapsed="false">
      <c r="A11" s="59" t="s">
        <v>107</v>
      </c>
      <c r="B11" s="57" t="n">
        <v>572</v>
      </c>
      <c r="C11" s="55" t="n">
        <v>1</v>
      </c>
      <c r="D11" s="60" t="s">
        <v>18</v>
      </c>
      <c r="E11" s="50" t="n">
        <v>59</v>
      </c>
      <c r="F11" s="40"/>
      <c r="G11" s="8"/>
      <c r="H11" s="8"/>
      <c r="I11" s="41"/>
      <c r="J11" s="42"/>
      <c r="K11" s="43"/>
      <c r="L11" s="44" t="n">
        <f aca="false">SUM(K11*90/100)</f>
        <v>0</v>
      </c>
      <c r="M11" s="45"/>
      <c r="N11" s="44" t="n">
        <f aca="false">L11-M11</f>
        <v>0</v>
      </c>
      <c r="O11" s="46"/>
      <c r="P11" s="47"/>
      <c r="Q11" s="12"/>
      <c r="R11" s="41" t="n">
        <v>23340</v>
      </c>
      <c r="S11" s="42" t="s">
        <v>90</v>
      </c>
      <c r="T11" s="43" t="n">
        <v>800</v>
      </c>
      <c r="U11" s="133" t="n">
        <f aca="false">SUM(T11*90/100)</f>
        <v>720</v>
      </c>
      <c r="V11" s="45" t="n">
        <v>5</v>
      </c>
      <c r="W11" s="48" t="n">
        <f aca="false">U11-V11</f>
        <v>715</v>
      </c>
      <c r="X11" s="46" t="s">
        <v>47</v>
      </c>
      <c r="Y11" s="47" t="s">
        <v>73</v>
      </c>
    </row>
    <row r="12" customFormat="false" ht="15.75" hidden="false" customHeight="true" outlineLevel="0" collapsed="false">
      <c r="A12" s="59" t="s">
        <v>108</v>
      </c>
      <c r="B12" s="57" t="n">
        <v>19</v>
      </c>
      <c r="C12" s="61" t="s">
        <v>20</v>
      </c>
      <c r="D12" s="56" t="s">
        <v>18</v>
      </c>
      <c r="E12" s="62" t="n">
        <f aca="false">SUM(E7:E11)</f>
        <v>8589</v>
      </c>
      <c r="F12" s="40"/>
      <c r="G12" s="8"/>
      <c r="H12" s="8"/>
      <c r="I12" s="41"/>
      <c r="J12" s="42"/>
      <c r="K12" s="43"/>
      <c r="L12" s="44" t="n">
        <f aca="false">SUM(K12*90/100)</f>
        <v>0</v>
      </c>
      <c r="M12" s="45"/>
      <c r="N12" s="44" t="n">
        <f aca="false">L12-M12</f>
        <v>0</v>
      </c>
      <c r="O12" s="46"/>
      <c r="P12" s="47"/>
      <c r="Q12" s="12"/>
      <c r="R12" s="41" t="s">
        <v>109</v>
      </c>
      <c r="S12" s="42" t="s">
        <v>110</v>
      </c>
      <c r="T12" s="43" t="n">
        <v>12000</v>
      </c>
      <c r="U12" s="133" t="n">
        <f aca="false">SUM(T12*90/100)</f>
        <v>10800</v>
      </c>
      <c r="V12" s="45" t="n">
        <v>5</v>
      </c>
      <c r="W12" s="48" t="n">
        <f aca="false">U12-V12</f>
        <v>10795</v>
      </c>
      <c r="X12" s="46" t="s">
        <v>47</v>
      </c>
      <c r="Y12" s="47" t="s">
        <v>73</v>
      </c>
    </row>
    <row r="13" customFormat="false" ht="15.75" hidden="false" customHeight="true" outlineLevel="0" collapsed="false">
      <c r="A13" s="59" t="s">
        <v>73</v>
      </c>
      <c r="B13" s="17" t="n">
        <v>955</v>
      </c>
      <c r="C13" s="63"/>
      <c r="D13" s="18"/>
      <c r="E13" s="17"/>
      <c r="F13" s="40"/>
      <c r="G13" s="8"/>
      <c r="H13" s="8"/>
      <c r="I13" s="41"/>
      <c r="J13" s="42"/>
      <c r="K13" s="43"/>
      <c r="L13" s="44" t="n">
        <f aca="false">SUM(K13*90/100)</f>
        <v>0</v>
      </c>
      <c r="M13" s="45"/>
      <c r="N13" s="44" t="n">
        <f aca="false">L13-M13</f>
        <v>0</v>
      </c>
      <c r="O13" s="46"/>
      <c r="P13" s="47"/>
      <c r="Q13" s="12"/>
      <c r="R13" s="136" t="n">
        <v>24088</v>
      </c>
      <c r="S13" s="137" t="s">
        <v>111</v>
      </c>
      <c r="T13" s="138" t="n">
        <v>440</v>
      </c>
      <c r="U13" s="133" t="n">
        <f aca="false">SUM(T13*90/100)</f>
        <v>396</v>
      </c>
      <c r="V13" s="45" t="n">
        <v>5</v>
      </c>
      <c r="W13" s="48" t="n">
        <f aca="false">U13-V13</f>
        <v>391</v>
      </c>
      <c r="X13" s="46" t="s">
        <v>112</v>
      </c>
      <c r="Y13" s="47" t="s">
        <v>91</v>
      </c>
    </row>
    <row r="14" customFormat="false" ht="15.75" hidden="false" customHeight="true" outlineLevel="0" collapsed="false">
      <c r="A14" s="59" t="s">
        <v>113</v>
      </c>
      <c r="B14" s="17" t="n">
        <v>9640</v>
      </c>
      <c r="C14" s="63"/>
      <c r="D14" s="18"/>
      <c r="E14" s="17"/>
      <c r="F14" s="40"/>
      <c r="G14" s="8"/>
      <c r="H14" s="8"/>
      <c r="I14" s="41"/>
      <c r="J14" s="42"/>
      <c r="K14" s="43"/>
      <c r="L14" s="44" t="n">
        <f aca="false">SUM(K14*90/100)</f>
        <v>0</v>
      </c>
      <c r="M14" s="45"/>
      <c r="N14" s="44" t="n">
        <f aca="false">L14-M14</f>
        <v>0</v>
      </c>
      <c r="O14" s="46"/>
      <c r="P14" s="47"/>
      <c r="Q14" s="12"/>
      <c r="R14" s="41" t="n">
        <v>22280</v>
      </c>
      <c r="S14" s="42" t="s">
        <v>114</v>
      </c>
      <c r="T14" s="43" t="n">
        <v>1500</v>
      </c>
      <c r="U14" s="133" t="n">
        <f aca="false">SUM(T14*90/100)</f>
        <v>1350</v>
      </c>
      <c r="V14" s="45" t="n">
        <v>5</v>
      </c>
      <c r="W14" s="48" t="n">
        <f aca="false">U14-V14</f>
        <v>1345</v>
      </c>
      <c r="X14" s="46" t="s">
        <v>47</v>
      </c>
      <c r="Y14" s="47" t="s">
        <v>115</v>
      </c>
    </row>
    <row r="15" customFormat="false" ht="15.75" hidden="false" customHeight="true" outlineLevel="0" collapsed="false">
      <c r="A15" s="59"/>
      <c r="B15" s="17"/>
      <c r="C15" s="63"/>
      <c r="D15" s="18"/>
      <c r="E15" s="17"/>
      <c r="F15" s="40"/>
      <c r="G15" s="8"/>
      <c r="H15" s="8"/>
      <c r="I15" s="41"/>
      <c r="J15" s="42"/>
      <c r="K15" s="43"/>
      <c r="L15" s="44" t="n">
        <f aca="false">SUM(K15*90/100)</f>
        <v>0</v>
      </c>
      <c r="M15" s="45"/>
      <c r="N15" s="44" t="n">
        <f aca="false">L15-M15</f>
        <v>0</v>
      </c>
      <c r="O15" s="46"/>
      <c r="P15" s="47"/>
      <c r="Q15" s="12"/>
      <c r="R15" s="41" t="n">
        <v>22324</v>
      </c>
      <c r="S15" s="42" t="s">
        <v>106</v>
      </c>
      <c r="T15" s="43" t="n">
        <v>300</v>
      </c>
      <c r="U15" s="133" t="n">
        <f aca="false">SUM(T15*90/100)</f>
        <v>270</v>
      </c>
      <c r="V15" s="45" t="n">
        <v>5</v>
      </c>
      <c r="W15" s="48" t="n">
        <f aca="false">U15-V15</f>
        <v>265</v>
      </c>
      <c r="X15" s="46" t="s">
        <v>112</v>
      </c>
      <c r="Y15" s="47" t="s">
        <v>44</v>
      </c>
    </row>
    <row r="16" customFormat="false" ht="15.75" hidden="false" customHeight="true" outlineLevel="0" collapsed="false">
      <c r="A16" s="59"/>
      <c r="B16" s="17"/>
      <c r="C16" s="63"/>
      <c r="D16" s="18"/>
      <c r="E16" s="17"/>
      <c r="F16" s="40"/>
      <c r="G16" s="8"/>
      <c r="H16" s="8"/>
      <c r="I16" s="41"/>
      <c r="J16" s="42"/>
      <c r="K16" s="43"/>
      <c r="L16" s="44" t="n">
        <f aca="false">SUM(K16*90/100)</f>
        <v>0</v>
      </c>
      <c r="M16" s="45"/>
      <c r="N16" s="44" t="n">
        <f aca="false">L16-M16</f>
        <v>0</v>
      </c>
      <c r="O16" s="46"/>
      <c r="P16" s="47"/>
      <c r="Q16" s="12"/>
      <c r="R16" s="41" t="n">
        <v>23014</v>
      </c>
      <c r="S16" s="42" t="s">
        <v>116</v>
      </c>
      <c r="T16" s="43" t="n">
        <v>1050</v>
      </c>
      <c r="U16" s="48" t="n">
        <f aca="false">SUM(T16*90/100)</f>
        <v>945</v>
      </c>
      <c r="V16" s="45" t="n">
        <v>5</v>
      </c>
      <c r="W16" s="48" t="n">
        <f aca="false">U16-V16</f>
        <v>940</v>
      </c>
      <c r="X16" s="46" t="s">
        <v>112</v>
      </c>
      <c r="Y16" s="47" t="s">
        <v>117</v>
      </c>
    </row>
    <row r="17" customFormat="false" ht="15.75" hidden="false" customHeight="true" outlineLevel="0" collapsed="false">
      <c r="A17" s="59"/>
      <c r="B17" s="17"/>
      <c r="C17" s="63"/>
      <c r="D17" s="18"/>
      <c r="E17" s="17"/>
      <c r="F17" s="40"/>
      <c r="G17" s="8"/>
      <c r="H17" s="8"/>
      <c r="I17" s="41"/>
      <c r="J17" s="42"/>
      <c r="K17" s="43"/>
      <c r="L17" s="44" t="n">
        <f aca="false">SUM(K17*90/100)</f>
        <v>0</v>
      </c>
      <c r="M17" s="45"/>
      <c r="N17" s="44" t="n">
        <f aca="false">L17-M17</f>
        <v>0</v>
      </c>
      <c r="O17" s="46"/>
      <c r="P17" s="47"/>
      <c r="Q17" s="12"/>
      <c r="R17" s="41" t="n">
        <v>22162</v>
      </c>
      <c r="S17" s="42" t="s">
        <v>118</v>
      </c>
      <c r="T17" s="43" t="n">
        <v>300</v>
      </c>
      <c r="U17" s="48" t="n">
        <f aca="false">SUM(T17*90/100)</f>
        <v>270</v>
      </c>
      <c r="V17" s="45" t="n">
        <v>5</v>
      </c>
      <c r="W17" s="48" t="n">
        <f aca="false">U17-V17</f>
        <v>265</v>
      </c>
      <c r="X17" s="46" t="s">
        <v>112</v>
      </c>
      <c r="Y17" s="47" t="s">
        <v>117</v>
      </c>
    </row>
    <row r="18" customFormat="false" ht="15.75" hidden="false" customHeight="true" outlineLevel="0" collapsed="false">
      <c r="A18" s="59"/>
      <c r="B18" s="17"/>
      <c r="C18" s="63"/>
      <c r="D18" s="18"/>
      <c r="E18" s="17"/>
      <c r="F18" s="40"/>
      <c r="G18" s="8"/>
      <c r="H18" s="8"/>
      <c r="I18" s="41"/>
      <c r="J18" s="42"/>
      <c r="K18" s="43"/>
      <c r="L18" s="44" t="n">
        <f aca="false">SUM(K18*90/100)</f>
        <v>0</v>
      </c>
      <c r="M18" s="45"/>
      <c r="N18" s="44" t="n">
        <f aca="false">L18-M18</f>
        <v>0</v>
      </c>
      <c r="O18" s="46"/>
      <c r="P18" s="47"/>
      <c r="Q18" s="12"/>
      <c r="R18" s="41"/>
      <c r="S18" s="42"/>
      <c r="T18" s="43"/>
      <c r="U18" s="48" t="n">
        <f aca="false">SUM(T18*90/100)</f>
        <v>0</v>
      </c>
      <c r="V18" s="45"/>
      <c r="W18" s="48" t="n">
        <f aca="false">U18-V18</f>
        <v>0</v>
      </c>
      <c r="X18" s="46"/>
      <c r="Y18" s="47"/>
    </row>
    <row r="19" customFormat="false" ht="15.75" hidden="false" customHeight="true" outlineLevel="0" collapsed="false">
      <c r="A19" s="59"/>
      <c r="B19" s="17"/>
      <c r="C19" s="63"/>
      <c r="D19" s="18"/>
      <c r="E19" s="17"/>
      <c r="F19" s="40"/>
      <c r="G19" s="8"/>
      <c r="H19" s="8"/>
      <c r="I19" s="41"/>
      <c r="J19" s="42"/>
      <c r="K19" s="43"/>
      <c r="L19" s="44" t="n">
        <f aca="false">SUM(K19*90/100)</f>
        <v>0</v>
      </c>
      <c r="M19" s="45"/>
      <c r="N19" s="44" t="n">
        <f aca="false">L19-M19</f>
        <v>0</v>
      </c>
      <c r="O19" s="46"/>
      <c r="P19" s="47"/>
      <c r="Q19" s="12"/>
      <c r="R19" s="41"/>
      <c r="S19" s="42"/>
      <c r="T19" s="43"/>
      <c r="U19" s="48" t="n">
        <f aca="false">SUM(T19*90/100)</f>
        <v>0</v>
      </c>
      <c r="V19" s="45"/>
      <c r="W19" s="48" t="n">
        <f aca="false">U19-V19</f>
        <v>0</v>
      </c>
      <c r="X19" s="46"/>
      <c r="Y19" s="47"/>
    </row>
    <row r="20" customFormat="false" ht="15.75" hidden="false" customHeight="true" outlineLevel="0" collapsed="false">
      <c r="A20" s="59"/>
      <c r="B20" s="17"/>
      <c r="C20" s="63"/>
      <c r="D20" s="18"/>
      <c r="E20" s="17"/>
      <c r="F20" s="40"/>
      <c r="G20" s="8"/>
      <c r="H20" s="8"/>
      <c r="I20" s="41"/>
      <c r="J20" s="42"/>
      <c r="K20" s="43"/>
      <c r="L20" s="44" t="n">
        <f aca="false">SUM(K20*90/100)</f>
        <v>0</v>
      </c>
      <c r="M20" s="45"/>
      <c r="N20" s="44" t="n">
        <f aca="false">L20-M20</f>
        <v>0</v>
      </c>
      <c r="O20" s="46"/>
      <c r="P20" s="47"/>
      <c r="Q20" s="12"/>
      <c r="R20" s="41"/>
      <c r="S20" s="42"/>
      <c r="T20" s="43"/>
      <c r="U20" s="48" t="n">
        <f aca="false">SUM(T20*90/100)</f>
        <v>0</v>
      </c>
      <c r="V20" s="45"/>
      <c r="W20" s="48" t="n">
        <f aca="false">U20-V20</f>
        <v>0</v>
      </c>
      <c r="X20" s="46"/>
      <c r="Y20" s="47"/>
    </row>
    <row r="21" customFormat="false" ht="15.75" hidden="false" customHeight="true" outlineLevel="0" collapsed="false">
      <c r="A21" s="64" t="s">
        <v>21</v>
      </c>
      <c r="B21" s="65" t="n">
        <f aca="false">SUM(B9:B20)</f>
        <v>11351</v>
      </c>
      <c r="C21" s="66"/>
      <c r="D21" s="67" t="s">
        <v>22</v>
      </c>
      <c r="E21" s="68" t="n">
        <f aca="false">F4+F7+E12</f>
        <v>52503</v>
      </c>
      <c r="F21" s="69"/>
      <c r="G21" s="8"/>
      <c r="H21" s="8"/>
      <c r="I21" s="70"/>
      <c r="J21" s="71"/>
      <c r="K21" s="72" t="n">
        <f aca="false">SUM(K5:K20)</f>
        <v>3150</v>
      </c>
      <c r="L21" s="73" t="n">
        <f aca="false">SUM(L5:L20)</f>
        <v>2835</v>
      </c>
      <c r="M21" s="72" t="n">
        <f aca="false">SUM(M5:M20)</f>
        <v>75</v>
      </c>
      <c r="N21" s="74" t="n">
        <f aca="false">L21-M21</f>
        <v>2760</v>
      </c>
      <c r="O21" s="75"/>
      <c r="P21" s="76"/>
      <c r="Q21" s="12"/>
      <c r="R21" s="70"/>
      <c r="S21" s="75"/>
      <c r="T21" s="72" t="n">
        <f aca="false">SUM(T5:T20)</f>
        <v>19990</v>
      </c>
      <c r="U21" s="77" t="n">
        <f aca="false">SUM(U5:U20)</f>
        <v>17991</v>
      </c>
      <c r="V21" s="72" t="n">
        <f aca="false">SUM(V5:V20)</f>
        <v>110</v>
      </c>
      <c r="W21" s="78" t="n">
        <f aca="false">U21-V21</f>
        <v>17881</v>
      </c>
      <c r="X21" s="75"/>
      <c r="Y21" s="76"/>
    </row>
    <row r="22" customFormat="false" ht="15.75" hidden="false" customHeight="true" outlineLevel="0" collapsed="false">
      <c r="A22" s="8"/>
      <c r="B22" s="79"/>
      <c r="C22" s="80"/>
      <c r="D22" s="81"/>
      <c r="E22" s="79"/>
      <c r="F22" s="8"/>
      <c r="G22" s="8"/>
      <c r="H22" s="8"/>
      <c r="I22" s="24"/>
      <c r="J22" s="82"/>
      <c r="K22" s="24"/>
      <c r="L22" s="23"/>
      <c r="M22" s="12"/>
      <c r="N22" s="24"/>
      <c r="O22" s="24"/>
      <c r="P22" s="12"/>
      <c r="Q22" s="12"/>
      <c r="R22" s="83"/>
      <c r="S22" s="83"/>
      <c r="T22" s="83"/>
      <c r="U22" s="83"/>
      <c r="V22" s="83"/>
      <c r="W22" s="83"/>
      <c r="X22" s="83"/>
      <c r="Y22" s="83"/>
    </row>
    <row r="23" customFormat="false" ht="15.75" hidden="false" customHeight="true" outlineLevel="0" collapsed="false">
      <c r="A23" s="8"/>
      <c r="B23" s="84" t="s">
        <v>23</v>
      </c>
      <c r="C23" s="84"/>
      <c r="D23" s="84"/>
      <c r="E23" s="79"/>
      <c r="F23" s="8"/>
      <c r="G23" s="8"/>
      <c r="H23" s="8"/>
      <c r="I23" s="9" t="s">
        <v>24</v>
      </c>
      <c r="J23" s="9"/>
      <c r="K23" s="9"/>
      <c r="L23" s="10"/>
      <c r="M23" s="11" t="s">
        <v>5</v>
      </c>
      <c r="N23" s="11"/>
      <c r="O23" s="11"/>
      <c r="P23" s="11"/>
      <c r="Q23" s="12"/>
      <c r="R23" s="13" t="s">
        <v>25</v>
      </c>
      <c r="S23" s="13"/>
      <c r="T23" s="13"/>
      <c r="U23" s="85"/>
      <c r="V23" s="11" t="s">
        <v>5</v>
      </c>
      <c r="W23" s="11"/>
      <c r="X23" s="11"/>
      <c r="Y23" s="11"/>
    </row>
    <row r="24" customFormat="false" ht="15.75" hidden="false" customHeight="true" outlineLevel="0" collapsed="false">
      <c r="A24" s="8"/>
      <c r="B24" s="84"/>
      <c r="C24" s="84"/>
      <c r="D24" s="84"/>
      <c r="E24" s="79"/>
      <c r="F24" s="8"/>
      <c r="G24" s="8"/>
      <c r="H24" s="8"/>
      <c r="I24" s="20"/>
      <c r="J24" s="21"/>
      <c r="K24" s="22"/>
      <c r="L24" s="23"/>
      <c r="M24" s="12"/>
      <c r="N24" s="24"/>
      <c r="O24" s="24"/>
      <c r="P24" s="25"/>
      <c r="Q24" s="12"/>
      <c r="R24" s="20"/>
      <c r="S24" s="22"/>
      <c r="T24" s="22"/>
      <c r="U24" s="12"/>
      <c r="V24" s="12"/>
      <c r="W24" s="24"/>
      <c r="X24" s="24"/>
      <c r="Y24" s="25"/>
    </row>
    <row r="25" customFormat="false" ht="15.75" hidden="false" customHeight="true" outlineLevel="0" collapsed="false">
      <c r="A25" s="8"/>
      <c r="B25" s="84"/>
      <c r="C25" s="84"/>
      <c r="D25" s="84"/>
      <c r="E25" s="79"/>
      <c r="F25" s="8"/>
      <c r="G25" s="8"/>
      <c r="H25" s="8"/>
      <c r="I25" s="86" t="s">
        <v>9</v>
      </c>
      <c r="J25" s="87" t="s">
        <v>10</v>
      </c>
      <c r="K25" s="33" t="s">
        <v>11</v>
      </c>
      <c r="L25" s="87" t="s">
        <v>12</v>
      </c>
      <c r="M25" s="88" t="s">
        <v>13</v>
      </c>
      <c r="N25" s="88" t="s">
        <v>14</v>
      </c>
      <c r="O25" s="88" t="s">
        <v>15</v>
      </c>
      <c r="P25" s="89" t="s">
        <v>16</v>
      </c>
      <c r="Q25" s="12"/>
      <c r="R25" s="86" t="s">
        <v>9</v>
      </c>
      <c r="S25" s="87" t="s">
        <v>10</v>
      </c>
      <c r="T25" s="33" t="s">
        <v>11</v>
      </c>
      <c r="U25" s="87" t="s">
        <v>12</v>
      </c>
      <c r="V25" s="88" t="s">
        <v>13</v>
      </c>
      <c r="W25" s="88" t="s">
        <v>14</v>
      </c>
      <c r="X25" s="88" t="s">
        <v>15</v>
      </c>
      <c r="Y25" s="89" t="s">
        <v>16</v>
      </c>
    </row>
    <row r="26" customFormat="false" ht="15.75" hidden="false" customHeight="true" outlineLevel="0" collapsed="false">
      <c r="A26" s="8"/>
      <c r="B26" s="84"/>
      <c r="C26" s="84"/>
      <c r="D26" s="84"/>
      <c r="E26" s="79"/>
      <c r="F26" s="8"/>
      <c r="G26" s="8"/>
      <c r="H26" s="8"/>
      <c r="I26" s="41" t="n">
        <v>24132</v>
      </c>
      <c r="J26" s="42" t="s">
        <v>119</v>
      </c>
      <c r="K26" s="43" t="n">
        <v>4000</v>
      </c>
      <c r="L26" s="139" t="n">
        <f aca="false">SUM(K26*90/100)</f>
        <v>3600</v>
      </c>
      <c r="M26" s="45" t="n">
        <v>80</v>
      </c>
      <c r="N26" s="44" t="n">
        <f aca="false">L26-M26</f>
        <v>3520</v>
      </c>
      <c r="O26" s="46" t="s">
        <v>43</v>
      </c>
      <c r="P26" s="47" t="s">
        <v>51</v>
      </c>
      <c r="Q26" s="12"/>
      <c r="R26" s="41" t="s">
        <v>120</v>
      </c>
      <c r="S26" s="42" t="s">
        <v>84</v>
      </c>
      <c r="T26" s="43" t="n">
        <v>800</v>
      </c>
      <c r="U26" s="133" t="n">
        <f aca="false">T26*90/100</f>
        <v>720</v>
      </c>
      <c r="V26" s="45" t="n">
        <v>40</v>
      </c>
      <c r="W26" s="48" t="n">
        <f aca="false">U26-V26</f>
        <v>680</v>
      </c>
      <c r="X26" s="46" t="s">
        <v>47</v>
      </c>
      <c r="Y26" s="47" t="s">
        <v>115</v>
      </c>
    </row>
    <row r="27" customFormat="false" ht="15.75" hidden="false" customHeight="true" outlineLevel="0" collapsed="false">
      <c r="A27" s="8"/>
      <c r="B27" s="84"/>
      <c r="C27" s="84"/>
      <c r="D27" s="84"/>
      <c r="E27" s="79"/>
      <c r="F27" s="8"/>
      <c r="G27" s="8"/>
      <c r="H27" s="8"/>
      <c r="I27" s="41" t="s">
        <v>121</v>
      </c>
      <c r="J27" s="42" t="s">
        <v>122</v>
      </c>
      <c r="K27" s="43" t="n">
        <v>2000</v>
      </c>
      <c r="L27" s="139" t="n">
        <f aca="false">SUM(K27*90/100)</f>
        <v>1800</v>
      </c>
      <c r="M27" s="45" t="n">
        <v>50</v>
      </c>
      <c r="N27" s="44" t="n">
        <f aca="false">L27-M27</f>
        <v>1750</v>
      </c>
      <c r="O27" s="46" t="s">
        <v>50</v>
      </c>
      <c r="P27" s="47" t="s">
        <v>51</v>
      </c>
      <c r="Q27" s="12"/>
      <c r="R27" s="41"/>
      <c r="S27" s="42"/>
      <c r="T27" s="43"/>
      <c r="U27" s="48" t="n">
        <f aca="false">T27*90/100</f>
        <v>0</v>
      </c>
      <c r="V27" s="45"/>
      <c r="W27" s="48" t="n">
        <f aca="false">U27-V27</f>
        <v>0</v>
      </c>
      <c r="X27" s="46"/>
      <c r="Y27" s="47"/>
    </row>
    <row r="28" customFormat="false" ht="15.75" hidden="false" customHeight="true" outlineLevel="0" collapsed="false">
      <c r="A28" s="8"/>
      <c r="B28" s="91" t="n">
        <f aca="false">E21-B7-B21-N21-N36-W21-W36</f>
        <v>3110</v>
      </c>
      <c r="C28" s="91"/>
      <c r="D28" s="91"/>
      <c r="E28" s="79"/>
      <c r="F28" s="8"/>
      <c r="G28" s="8"/>
      <c r="H28" s="8"/>
      <c r="I28" s="41" t="n">
        <v>24133</v>
      </c>
      <c r="J28" s="42" t="s">
        <v>123</v>
      </c>
      <c r="K28" s="43" t="n">
        <v>5000</v>
      </c>
      <c r="L28" s="139" t="n">
        <f aca="false">SUM(K28*90/100)</f>
        <v>4500</v>
      </c>
      <c r="M28" s="45" t="n">
        <v>100</v>
      </c>
      <c r="N28" s="44" t="n">
        <f aca="false">L28-M28</f>
        <v>4400</v>
      </c>
      <c r="O28" s="46" t="s">
        <v>43</v>
      </c>
      <c r="P28" s="47" t="s">
        <v>44</v>
      </c>
      <c r="Q28" s="12"/>
      <c r="R28" s="41"/>
      <c r="S28" s="42"/>
      <c r="T28" s="43"/>
      <c r="U28" s="48" t="n">
        <f aca="false">T28*90/100</f>
        <v>0</v>
      </c>
      <c r="V28" s="45"/>
      <c r="W28" s="48" t="n">
        <f aca="false">U28-V28</f>
        <v>0</v>
      </c>
      <c r="X28" s="46"/>
      <c r="Y28" s="47"/>
    </row>
    <row r="29" customFormat="false" ht="15.75" hidden="false" customHeight="true" outlineLevel="0" collapsed="false">
      <c r="A29" s="8"/>
      <c r="B29" s="91"/>
      <c r="C29" s="91"/>
      <c r="D29" s="91"/>
      <c r="E29" s="79"/>
      <c r="F29" s="8"/>
      <c r="G29" s="8"/>
      <c r="H29" s="8"/>
      <c r="I29" s="126" t="s">
        <v>124</v>
      </c>
      <c r="J29" s="42" t="s">
        <v>125</v>
      </c>
      <c r="K29" s="43" t="n">
        <v>1800</v>
      </c>
      <c r="L29" s="139" t="n">
        <f aca="false">SUM(K29*90/100)</f>
        <v>1620</v>
      </c>
      <c r="M29" s="45" t="n">
        <v>50</v>
      </c>
      <c r="N29" s="44" t="n">
        <f aca="false">L29-M29</f>
        <v>1570</v>
      </c>
      <c r="O29" s="46" t="s">
        <v>43</v>
      </c>
      <c r="P29" s="47" t="s">
        <v>96</v>
      </c>
      <c r="Q29" s="12"/>
      <c r="R29" s="41"/>
      <c r="S29" s="42"/>
      <c r="T29" s="43"/>
      <c r="U29" s="48" t="n">
        <f aca="false">T29*90/100</f>
        <v>0</v>
      </c>
      <c r="V29" s="45"/>
      <c r="W29" s="48" t="n">
        <f aca="false">U29-V29</f>
        <v>0</v>
      </c>
      <c r="X29" s="46"/>
      <c r="Y29" s="47"/>
    </row>
    <row r="30" customFormat="false" ht="15.75" hidden="false" customHeight="true" outlineLevel="0" collapsed="false">
      <c r="A30" s="8"/>
      <c r="B30" s="91"/>
      <c r="C30" s="91"/>
      <c r="D30" s="91"/>
      <c r="E30" s="79"/>
      <c r="F30" s="8"/>
      <c r="G30" s="8"/>
      <c r="H30" s="8"/>
      <c r="I30" s="41"/>
      <c r="J30" s="42"/>
      <c r="K30" s="43"/>
      <c r="L30" s="90" t="n">
        <f aca="false">SUM(K30*90/100)</f>
        <v>0</v>
      </c>
      <c r="M30" s="45"/>
      <c r="N30" s="44" t="n">
        <f aca="false">L30-M30</f>
        <v>0</v>
      </c>
      <c r="O30" s="46"/>
      <c r="P30" s="47"/>
      <c r="Q30" s="12"/>
      <c r="R30" s="41"/>
      <c r="S30" s="42"/>
      <c r="T30" s="43"/>
      <c r="U30" s="48" t="n">
        <f aca="false">T30*90/100</f>
        <v>0</v>
      </c>
      <c r="V30" s="45"/>
      <c r="W30" s="48" t="n">
        <f aca="false">U30-V30</f>
        <v>0</v>
      </c>
      <c r="X30" s="46"/>
      <c r="Y30" s="47"/>
    </row>
    <row r="31" customFormat="false" ht="15.75" hidden="false" customHeight="true" outlineLevel="0" collapsed="false">
      <c r="A31" s="8"/>
      <c r="B31" s="91"/>
      <c r="C31" s="91"/>
      <c r="D31" s="91"/>
      <c r="E31" s="79"/>
      <c r="F31" s="8"/>
      <c r="G31" s="8"/>
      <c r="H31" s="8"/>
      <c r="I31" s="41"/>
      <c r="J31" s="42"/>
      <c r="K31" s="43"/>
      <c r="L31" s="90" t="n">
        <f aca="false">SUM(K31*90/100)</f>
        <v>0</v>
      </c>
      <c r="M31" s="45"/>
      <c r="N31" s="44" t="n">
        <f aca="false">L31-M31</f>
        <v>0</v>
      </c>
      <c r="O31" s="46"/>
      <c r="P31" s="47"/>
      <c r="Q31" s="12"/>
      <c r="R31" s="41"/>
      <c r="S31" s="42"/>
      <c r="T31" s="43"/>
      <c r="U31" s="48" t="n">
        <f aca="false">T31*90/100</f>
        <v>0</v>
      </c>
      <c r="V31" s="45"/>
      <c r="W31" s="48" t="n">
        <f aca="false">U31-V31</f>
        <v>0</v>
      </c>
      <c r="X31" s="46"/>
      <c r="Y31" s="47"/>
    </row>
    <row r="32" customFormat="false" ht="15.75" hidden="false" customHeight="true" outlineLevel="0" collapsed="false">
      <c r="A32" s="1"/>
      <c r="B32" s="91"/>
      <c r="C32" s="91"/>
      <c r="D32" s="91"/>
      <c r="E32" s="1"/>
      <c r="F32" s="8"/>
      <c r="G32" s="8"/>
      <c r="H32" s="8"/>
      <c r="I32" s="41"/>
      <c r="J32" s="42"/>
      <c r="K32" s="43"/>
      <c r="L32" s="90" t="n">
        <f aca="false">SUM(K32*90/100)</f>
        <v>0</v>
      </c>
      <c r="M32" s="45"/>
      <c r="N32" s="44" t="n">
        <f aca="false">L32-M32</f>
        <v>0</v>
      </c>
      <c r="O32" s="46"/>
      <c r="P32" s="47"/>
      <c r="Q32" s="12"/>
      <c r="R32" s="41"/>
      <c r="S32" s="42"/>
      <c r="T32" s="43"/>
      <c r="U32" s="48" t="n">
        <f aca="false">T32*90/100</f>
        <v>0</v>
      </c>
      <c r="V32" s="45"/>
      <c r="W32" s="48" t="n">
        <f aca="false">U32-V32</f>
        <v>0</v>
      </c>
      <c r="X32" s="46"/>
      <c r="Y32" s="47"/>
    </row>
    <row r="33" customFormat="false" ht="15.75" hidden="false" customHeight="true" outlineLevel="0" collapsed="false">
      <c r="A33" s="1"/>
      <c r="B33" s="1"/>
      <c r="C33" s="1"/>
      <c r="D33" s="1"/>
      <c r="E33" s="1"/>
      <c r="F33" s="8"/>
      <c r="G33" s="8"/>
      <c r="H33" s="8"/>
      <c r="I33" s="41"/>
      <c r="J33" s="42"/>
      <c r="K33" s="43"/>
      <c r="L33" s="90" t="n">
        <f aca="false">SUM(K33*90/100)</f>
        <v>0</v>
      </c>
      <c r="M33" s="45"/>
      <c r="N33" s="44" t="n">
        <f aca="false">L33-M33</f>
        <v>0</v>
      </c>
      <c r="O33" s="46"/>
      <c r="P33" s="47"/>
      <c r="Q33" s="12"/>
      <c r="R33" s="41"/>
      <c r="S33" s="42"/>
      <c r="T33" s="43"/>
      <c r="U33" s="48" t="n">
        <f aca="false">T33*90/100</f>
        <v>0</v>
      </c>
      <c r="V33" s="45"/>
      <c r="W33" s="48" t="n">
        <f aca="false">U33-V33</f>
        <v>0</v>
      </c>
      <c r="X33" s="46"/>
      <c r="Y33" s="47"/>
    </row>
    <row r="34" customFormat="false" ht="14.25" hidden="false" customHeight="true" outlineLevel="0" collapsed="false">
      <c r="A34" s="92" t="s">
        <v>27</v>
      </c>
      <c r="B34" s="92"/>
      <c r="C34" s="92"/>
      <c r="D34" s="1"/>
      <c r="E34" s="1"/>
      <c r="F34" s="8"/>
      <c r="G34" s="8"/>
      <c r="H34" s="8"/>
      <c r="I34" s="41"/>
      <c r="J34" s="42"/>
      <c r="K34" s="43"/>
      <c r="L34" s="90" t="n">
        <f aca="false">SUM(K34*90/100)</f>
        <v>0</v>
      </c>
      <c r="M34" s="45"/>
      <c r="N34" s="44" t="n">
        <f aca="false">L34-M34</f>
        <v>0</v>
      </c>
      <c r="O34" s="46"/>
      <c r="P34" s="47"/>
      <c r="Q34" s="12"/>
      <c r="R34" s="41"/>
      <c r="S34" s="42"/>
      <c r="T34" s="43"/>
      <c r="U34" s="48" t="n">
        <f aca="false">T34*90/100</f>
        <v>0</v>
      </c>
      <c r="V34" s="45"/>
      <c r="W34" s="48" t="n">
        <f aca="false">U34-V34</f>
        <v>0</v>
      </c>
      <c r="X34" s="46"/>
      <c r="Y34" s="47"/>
    </row>
    <row r="35" customFormat="false" ht="18" hidden="false" customHeight="true" outlineLevel="0" collapsed="false">
      <c r="A35" s="93"/>
      <c r="B35" s="93"/>
      <c r="C35" s="93"/>
      <c r="D35" s="1"/>
      <c r="E35" s="1"/>
      <c r="F35" s="8"/>
      <c r="G35" s="8"/>
      <c r="H35" s="8"/>
      <c r="I35" s="41"/>
      <c r="J35" s="42"/>
      <c r="K35" s="43"/>
      <c r="L35" s="90" t="n">
        <f aca="false">SUM(K35*90/100)</f>
        <v>0</v>
      </c>
      <c r="M35" s="45"/>
      <c r="N35" s="44" t="n">
        <f aca="false">L35-M35</f>
        <v>0</v>
      </c>
      <c r="O35" s="46"/>
      <c r="P35" s="47"/>
      <c r="Q35" s="12"/>
      <c r="R35" s="41"/>
      <c r="S35" s="42"/>
      <c r="T35" s="43"/>
      <c r="U35" s="48" t="n">
        <f aca="false">T35*90/100</f>
        <v>0</v>
      </c>
      <c r="V35" s="45"/>
      <c r="W35" s="48" t="n">
        <f aca="false">U35-V35</f>
        <v>0</v>
      </c>
      <c r="X35" s="46"/>
      <c r="Y35" s="47"/>
    </row>
    <row r="36" customFormat="false" ht="24" hidden="false" customHeight="true" outlineLevel="0" collapsed="false">
      <c r="A36" s="92" t="s">
        <v>28</v>
      </c>
      <c r="B36" s="92"/>
      <c r="C36" s="94" t="n">
        <v>5683</v>
      </c>
      <c r="D36" s="1"/>
      <c r="E36" s="1"/>
      <c r="F36" s="8"/>
      <c r="G36" s="8"/>
      <c r="H36" s="8"/>
      <c r="I36" s="70"/>
      <c r="J36" s="71"/>
      <c r="K36" s="72" t="n">
        <f aca="false">SUM(K26:K35)</f>
        <v>12800</v>
      </c>
      <c r="L36" s="95" t="n">
        <f aca="false">SUM(K36*90/100)</f>
        <v>11520</v>
      </c>
      <c r="M36" s="72" t="n">
        <f aca="false">SUM(M26:M35)</f>
        <v>280</v>
      </c>
      <c r="N36" s="74" t="n">
        <f aca="false">L36-M36</f>
        <v>11240</v>
      </c>
      <c r="O36" s="75"/>
      <c r="P36" s="76"/>
      <c r="Q36" s="12"/>
      <c r="R36" s="70"/>
      <c r="S36" s="75"/>
      <c r="T36" s="72" t="n">
        <f aca="false">SUM(T26:T35)</f>
        <v>800</v>
      </c>
      <c r="U36" s="77" t="n">
        <f aca="false">SUM(U26:U35)</f>
        <v>720</v>
      </c>
      <c r="V36" s="72" t="n">
        <f aca="false">SUM(V26:V35)</f>
        <v>40</v>
      </c>
      <c r="W36" s="78" t="n">
        <f aca="false">U36-V36</f>
        <v>680</v>
      </c>
      <c r="X36" s="75"/>
      <c r="Y36" s="76"/>
    </row>
    <row r="37" customFormat="false" ht="7.5" hidden="false" customHeight="true" outlineLevel="0" collapsed="false">
      <c r="A37" s="1"/>
      <c r="B37" s="1"/>
      <c r="C37" s="8"/>
      <c r="D37" s="1"/>
      <c r="E37" s="1"/>
      <c r="F37" s="8"/>
      <c r="G37" s="8"/>
      <c r="H37" s="8"/>
      <c r="I37" s="79"/>
      <c r="J37" s="96"/>
      <c r="K37" s="79"/>
      <c r="L37" s="97"/>
      <c r="M37" s="8"/>
      <c r="N37" s="79"/>
      <c r="O37" s="79"/>
      <c r="P37" s="8"/>
      <c r="Q37" s="8"/>
      <c r="R37" s="1"/>
      <c r="S37" s="1"/>
      <c r="T37" s="1"/>
      <c r="U37" s="1"/>
      <c r="V37" s="1"/>
      <c r="W37" s="1"/>
      <c r="X37" s="1"/>
      <c r="Y37" s="1"/>
    </row>
    <row r="38" customFormat="false" ht="1.5" hidden="false" customHeight="true" outlineLevel="0" collapsed="false">
      <c r="A38" s="1"/>
      <c r="B38" s="1"/>
      <c r="C38" s="8"/>
      <c r="D38" s="1"/>
      <c r="E38" s="1"/>
      <c r="F38" s="8"/>
      <c r="G38" s="8"/>
      <c r="H38" s="8"/>
      <c r="I38" s="79"/>
      <c r="J38" s="96"/>
      <c r="K38" s="79"/>
      <c r="L38" s="97"/>
      <c r="M38" s="8"/>
      <c r="N38" s="79"/>
      <c r="O38" s="79"/>
      <c r="P38" s="8"/>
      <c r="Q38" s="8"/>
      <c r="R38" s="1"/>
      <c r="S38" s="1"/>
      <c r="T38" s="1"/>
      <c r="U38" s="93"/>
      <c r="V38" s="93"/>
      <c r="W38" s="1"/>
      <c r="X38" s="1"/>
      <c r="Y38" s="1"/>
    </row>
    <row r="39" customFormat="false" ht="24" hidden="false" customHeight="true" outlineLevel="0" collapsed="false">
      <c r="A39" s="98" t="s">
        <v>29</v>
      </c>
      <c r="B39" s="98"/>
      <c r="C39" s="99" t="n">
        <f aca="false">SUM(C36+D59-E59+H59-I59+L59-M59)</f>
        <v>5481</v>
      </c>
      <c r="D39" s="100" t="s">
        <v>30</v>
      </c>
      <c r="E39" s="101" t="s">
        <v>31</v>
      </c>
      <c r="F39" s="102" t="s">
        <v>32</v>
      </c>
      <c r="G39" s="101"/>
      <c r="H39" s="101" t="s">
        <v>30</v>
      </c>
      <c r="I39" s="101" t="s">
        <v>33</v>
      </c>
      <c r="J39" s="103" t="s">
        <v>32</v>
      </c>
      <c r="K39" s="104"/>
      <c r="L39" s="101" t="s">
        <v>30</v>
      </c>
      <c r="M39" s="101" t="s">
        <v>33</v>
      </c>
      <c r="N39" s="105" t="s">
        <v>32</v>
      </c>
      <c r="O39" s="106"/>
      <c r="P39" s="1"/>
      <c r="Q39" s="8"/>
      <c r="R39" s="1"/>
      <c r="S39" s="1"/>
      <c r="T39" s="93"/>
      <c r="U39" s="93"/>
      <c r="V39" s="93"/>
      <c r="W39" s="1"/>
      <c r="X39" s="1"/>
      <c r="Y39" s="1"/>
    </row>
    <row r="40" customFormat="false" ht="15.75" hidden="false" customHeight="true" outlineLevel="0" collapsed="false">
      <c r="A40" s="98"/>
      <c r="B40" s="98"/>
      <c r="C40" s="99"/>
      <c r="D40" s="101"/>
      <c r="E40" s="101" t="n">
        <v>300</v>
      </c>
      <c r="F40" s="107" t="s">
        <v>39</v>
      </c>
      <c r="G40" s="101"/>
      <c r="H40" s="101"/>
      <c r="I40" s="108" t="n">
        <v>3666</v>
      </c>
      <c r="J40" s="100" t="s">
        <v>44</v>
      </c>
      <c r="K40" s="109"/>
      <c r="L40" s="110"/>
      <c r="M40" s="101"/>
      <c r="N40" s="100"/>
      <c r="O40" s="100"/>
      <c r="P40" s="1"/>
      <c r="Q40" s="8"/>
      <c r="R40" s="1"/>
      <c r="S40" s="1"/>
      <c r="T40" s="93"/>
      <c r="U40" s="93"/>
      <c r="V40" s="1"/>
      <c r="W40" s="1"/>
      <c r="X40" s="1"/>
      <c r="Y40" s="1"/>
    </row>
    <row r="41" customFormat="false" ht="15.75" hidden="false" customHeight="true" outlineLevel="0" collapsed="false">
      <c r="A41" s="98"/>
      <c r="B41" s="98"/>
      <c r="C41" s="99"/>
      <c r="D41" s="101"/>
      <c r="E41" s="101" t="n">
        <v>90</v>
      </c>
      <c r="F41" s="107" t="s">
        <v>104</v>
      </c>
      <c r="G41" s="101"/>
      <c r="H41" s="101" t="n">
        <v>270</v>
      </c>
      <c r="I41" s="108"/>
      <c r="J41" s="100" t="s">
        <v>126</v>
      </c>
      <c r="K41" s="109"/>
      <c r="L41" s="110"/>
      <c r="M41" s="101"/>
      <c r="N41" s="100"/>
      <c r="O41" s="100"/>
      <c r="P41" s="1"/>
      <c r="Q41" s="8"/>
      <c r="R41" s="1"/>
      <c r="S41" s="1"/>
      <c r="T41" s="1"/>
      <c r="U41" s="1"/>
      <c r="V41" s="1"/>
      <c r="W41" s="1"/>
      <c r="X41" s="1"/>
      <c r="Y41" s="1"/>
    </row>
    <row r="42" customFormat="false" ht="15.75" hidden="false" customHeight="true" outlineLevel="0" collapsed="false">
      <c r="A42" s="98"/>
      <c r="B42" s="98"/>
      <c r="C42" s="99"/>
      <c r="D42" s="101" t="n">
        <v>1880</v>
      </c>
      <c r="E42" s="101"/>
      <c r="F42" s="107" t="s">
        <v>127</v>
      </c>
      <c r="G42" s="101"/>
      <c r="H42" s="101"/>
      <c r="I42" s="108" t="n">
        <v>445</v>
      </c>
      <c r="J42" s="100" t="s">
        <v>105</v>
      </c>
      <c r="K42" s="109"/>
      <c r="L42" s="110"/>
      <c r="M42" s="101"/>
      <c r="N42" s="100"/>
      <c r="O42" s="100"/>
      <c r="P42" s="1"/>
      <c r="Q42" s="8"/>
      <c r="R42" s="1"/>
      <c r="S42" s="1"/>
      <c r="T42" s="111" t="s">
        <v>34</v>
      </c>
      <c r="U42" s="111" t="s">
        <v>35</v>
      </c>
      <c r="V42" s="112" t="n">
        <f aca="false">SUM(M21+V21+M36+V36)</f>
        <v>505</v>
      </c>
      <c r="W42" s="111"/>
      <c r="X42" s="111"/>
      <c r="Y42" s="111"/>
    </row>
    <row r="43" customFormat="false" ht="15.75" hidden="false" customHeight="true" outlineLevel="0" collapsed="false">
      <c r="A43" s="98"/>
      <c r="B43" s="98"/>
      <c r="C43" s="99"/>
      <c r="D43" s="101"/>
      <c r="E43" s="101" t="n">
        <v>265</v>
      </c>
      <c r="F43" s="107" t="s">
        <v>128</v>
      </c>
      <c r="G43" s="101"/>
      <c r="H43" s="101"/>
      <c r="I43" s="108" t="n">
        <v>445</v>
      </c>
      <c r="J43" s="100" t="s">
        <v>101</v>
      </c>
      <c r="K43" s="109"/>
      <c r="L43" s="110"/>
      <c r="M43" s="101"/>
      <c r="N43" s="100"/>
      <c r="O43" s="100"/>
      <c r="P43" s="1"/>
      <c r="Q43" s="8"/>
      <c r="R43" s="1"/>
      <c r="S43" s="1"/>
      <c r="T43" s="111" t="s">
        <v>36</v>
      </c>
      <c r="U43" s="111" t="s">
        <v>35</v>
      </c>
      <c r="V43" s="111"/>
      <c r="W43" s="111"/>
      <c r="X43" s="111"/>
      <c r="Y43" s="111"/>
    </row>
    <row r="44" customFormat="false" ht="15.75" hidden="false" customHeight="true" outlineLevel="0" collapsed="false">
      <c r="A44" s="98"/>
      <c r="B44" s="98"/>
      <c r="C44" s="99"/>
      <c r="D44" s="101"/>
      <c r="E44" s="101" t="n">
        <v>50</v>
      </c>
      <c r="F44" s="107" t="s">
        <v>129</v>
      </c>
      <c r="G44" s="101"/>
      <c r="H44" s="101"/>
      <c r="I44" s="108"/>
      <c r="J44" s="100"/>
      <c r="K44" s="109"/>
      <c r="L44" s="110"/>
      <c r="N44" s="100"/>
      <c r="O44" s="100"/>
      <c r="P44" s="1"/>
      <c r="Q44" s="8"/>
      <c r="R44" s="1"/>
      <c r="S44" s="1"/>
      <c r="T44" s="111"/>
      <c r="U44" s="111"/>
      <c r="V44" s="111"/>
      <c r="W44" s="111"/>
      <c r="X44" s="111"/>
      <c r="Y44" s="111"/>
    </row>
    <row r="45" customFormat="false" ht="15.75" hidden="false" customHeight="true" outlineLevel="0" collapsed="false">
      <c r="A45" s="98"/>
      <c r="B45" s="98"/>
      <c r="C45" s="99"/>
      <c r="D45" s="101"/>
      <c r="E45" s="101" t="n">
        <v>850</v>
      </c>
      <c r="F45" s="107" t="s">
        <v>98</v>
      </c>
      <c r="G45" s="101"/>
      <c r="H45" s="101"/>
      <c r="I45" s="108"/>
      <c r="J45" s="113"/>
      <c r="K45" s="114"/>
      <c r="L45" s="110"/>
      <c r="M45" s="101"/>
      <c r="N45" s="100"/>
      <c r="O45" s="100"/>
      <c r="P45" s="1"/>
      <c r="Q45" s="8"/>
      <c r="R45" s="1"/>
      <c r="S45" s="1"/>
      <c r="T45" s="111"/>
      <c r="U45" s="111"/>
      <c r="V45" s="111"/>
      <c r="W45" s="111"/>
      <c r="X45" s="111"/>
      <c r="Y45" s="111"/>
    </row>
    <row r="46" customFormat="false" ht="15.75" hidden="false" customHeight="true" outlineLevel="0" collapsed="false">
      <c r="A46" s="98"/>
      <c r="B46" s="98"/>
      <c r="C46" s="99"/>
      <c r="D46" s="101"/>
      <c r="E46" s="101" t="n">
        <v>40</v>
      </c>
      <c r="F46" s="107" t="s">
        <v>93</v>
      </c>
      <c r="G46" s="101"/>
      <c r="H46" s="101"/>
      <c r="I46" s="108"/>
      <c r="J46" s="100"/>
      <c r="K46" s="109"/>
      <c r="L46" s="110"/>
      <c r="M46" s="101"/>
      <c r="N46" s="100"/>
      <c r="O46" s="100"/>
      <c r="P46" s="1"/>
      <c r="Q46" s="8"/>
      <c r="R46" s="1"/>
      <c r="S46" s="1"/>
      <c r="T46" s="111"/>
      <c r="U46" s="111"/>
      <c r="V46" s="111"/>
      <c r="W46" s="111"/>
      <c r="X46" s="111"/>
      <c r="Y46" s="111"/>
    </row>
    <row r="47" customFormat="false" ht="15.75" hidden="false" customHeight="true" outlineLevel="0" collapsed="false">
      <c r="A47" s="98"/>
      <c r="B47" s="98"/>
      <c r="C47" s="99"/>
      <c r="D47" s="101"/>
      <c r="E47" s="101" t="n">
        <v>220</v>
      </c>
      <c r="F47" s="107" t="s">
        <v>103</v>
      </c>
      <c r="G47" s="101"/>
      <c r="H47" s="101"/>
      <c r="I47" s="108"/>
      <c r="J47" s="100"/>
      <c r="K47" s="109"/>
      <c r="L47" s="110"/>
      <c r="M47" s="101"/>
      <c r="N47" s="115"/>
      <c r="O47" s="115"/>
      <c r="P47" s="1"/>
      <c r="Q47" s="8"/>
      <c r="R47" s="1"/>
      <c r="S47" s="1"/>
      <c r="T47" s="111" t="s">
        <v>37</v>
      </c>
      <c r="U47" s="111"/>
      <c r="V47" s="111"/>
      <c r="W47" s="111"/>
      <c r="X47" s="111" t="s">
        <v>38</v>
      </c>
      <c r="Y47" s="111"/>
    </row>
    <row r="48" customFormat="false" ht="22.5" hidden="false" customHeight="true" outlineLevel="0" collapsed="false">
      <c r="A48" s="98"/>
      <c r="B48" s="98"/>
      <c r="C48" s="99"/>
      <c r="D48" s="101" t="n">
        <v>300</v>
      </c>
      <c r="E48" s="101"/>
      <c r="F48" s="107" t="s">
        <v>130</v>
      </c>
      <c r="G48" s="101"/>
      <c r="H48" s="101"/>
      <c r="I48" s="108"/>
      <c r="J48" s="116"/>
      <c r="K48" s="114"/>
      <c r="L48" s="110"/>
      <c r="M48" s="108"/>
      <c r="N48" s="100"/>
      <c r="O48" s="100"/>
      <c r="P48" s="1"/>
      <c r="Q48" s="8"/>
      <c r="R48" s="1"/>
      <c r="S48" s="1"/>
      <c r="T48" s="1"/>
      <c r="U48" s="1"/>
      <c r="V48" s="18" t="s">
        <v>39</v>
      </c>
      <c r="W48" s="93"/>
      <c r="X48" s="93"/>
      <c r="Y48" s="1"/>
    </row>
    <row r="49" customFormat="false" ht="15.75" hidden="false" customHeight="true" outlineLevel="0" collapsed="false">
      <c r="A49" s="98"/>
      <c r="B49" s="98"/>
      <c r="C49" s="99"/>
      <c r="D49" s="101"/>
      <c r="E49" s="101" t="n">
        <v>461</v>
      </c>
      <c r="F49" s="117" t="n">
        <v>169</v>
      </c>
      <c r="G49" s="101"/>
      <c r="H49" s="101"/>
      <c r="I49" s="108"/>
      <c r="J49" s="100"/>
      <c r="K49" s="100"/>
      <c r="L49" s="110"/>
      <c r="M49" s="108"/>
      <c r="N49" s="100"/>
      <c r="O49" s="100"/>
      <c r="P49" s="1"/>
      <c r="Q49" s="8"/>
      <c r="R49" s="1"/>
      <c r="S49" s="1"/>
      <c r="T49" s="1"/>
      <c r="U49" s="1"/>
      <c r="V49" s="93"/>
      <c r="W49" s="93"/>
      <c r="X49" s="93"/>
      <c r="Y49" s="1"/>
    </row>
    <row r="50" customFormat="false" ht="16.5" hidden="false" customHeight="true" outlineLevel="0" collapsed="false">
      <c r="A50" s="98"/>
      <c r="B50" s="98"/>
      <c r="C50" s="99"/>
      <c r="D50" s="101" t="n">
        <v>710</v>
      </c>
      <c r="E50" s="101"/>
      <c r="F50" s="117" t="n">
        <v>855</v>
      </c>
      <c r="G50" s="101"/>
      <c r="H50" s="101"/>
      <c r="I50" s="108"/>
      <c r="J50" s="100"/>
      <c r="K50" s="100"/>
      <c r="L50" s="110"/>
      <c r="M50" s="101"/>
      <c r="N50" s="113"/>
      <c r="O50" s="113"/>
      <c r="P50" s="1"/>
      <c r="Q50" s="8"/>
      <c r="R50" s="1"/>
      <c r="S50" s="1"/>
      <c r="T50" s="1"/>
      <c r="U50" s="1"/>
      <c r="V50" s="93" t="s">
        <v>40</v>
      </c>
      <c r="W50" s="93"/>
      <c r="X50" s="93"/>
      <c r="Y50" s="1"/>
    </row>
    <row r="51" customFormat="false" ht="22.5" hidden="false" customHeight="true" outlineLevel="0" collapsed="false">
      <c r="A51" s="98"/>
      <c r="B51" s="98"/>
      <c r="C51" s="99"/>
      <c r="D51" s="101"/>
      <c r="E51" s="101" t="n">
        <v>50</v>
      </c>
      <c r="F51" s="117" t="s">
        <v>131</v>
      </c>
      <c r="G51" s="101"/>
      <c r="H51" s="101"/>
      <c r="I51" s="108"/>
      <c r="J51" s="118"/>
      <c r="K51" s="119"/>
      <c r="L51" s="110"/>
      <c r="M51" s="101"/>
      <c r="N51" s="118"/>
      <c r="O51" s="120"/>
      <c r="P51" s="1"/>
      <c r="Q51" s="8"/>
      <c r="R51" s="1"/>
      <c r="S51" s="1"/>
      <c r="T51" s="1"/>
      <c r="U51" s="1"/>
      <c r="V51" s="1"/>
      <c r="W51" s="1"/>
      <c r="X51" s="1"/>
      <c r="Y51" s="1"/>
    </row>
    <row r="52" customFormat="false" ht="15.75" hidden="false" customHeight="true" outlineLevel="0" collapsed="false">
      <c r="A52" s="98"/>
      <c r="B52" s="98"/>
      <c r="C52" s="99"/>
      <c r="D52" s="101" t="n">
        <v>3680</v>
      </c>
      <c r="E52" s="101"/>
      <c r="F52" s="117" t="s">
        <v>132</v>
      </c>
      <c r="G52" s="101"/>
      <c r="H52" s="101"/>
      <c r="I52" s="108"/>
      <c r="J52" s="113"/>
      <c r="K52" s="121"/>
      <c r="L52" s="110"/>
      <c r="M52" s="101"/>
      <c r="N52" s="118"/>
      <c r="O52" s="120"/>
      <c r="P52" s="1"/>
      <c r="Q52" s="8"/>
      <c r="R52" s="1"/>
      <c r="S52" s="1"/>
      <c r="T52" s="1"/>
      <c r="U52" s="1"/>
      <c r="V52" s="1"/>
      <c r="W52" s="1"/>
      <c r="X52" s="1"/>
      <c r="Y52" s="1"/>
    </row>
    <row r="53" customFormat="false" ht="15.75" hidden="false" customHeight="true" outlineLevel="0" collapsed="false">
      <c r="A53" s="98"/>
      <c r="B53" s="98"/>
      <c r="C53" s="99"/>
      <c r="D53" s="101" t="n">
        <v>200</v>
      </c>
      <c r="E53" s="101"/>
      <c r="F53" s="117" t="s">
        <v>133</v>
      </c>
      <c r="G53" s="101"/>
      <c r="H53" s="101"/>
      <c r="I53" s="108"/>
      <c r="J53" s="100"/>
      <c r="K53" s="122"/>
      <c r="L53" s="110"/>
      <c r="M53" s="101"/>
      <c r="N53" s="118"/>
      <c r="O53" s="120"/>
      <c r="P53" s="1"/>
      <c r="Q53" s="8"/>
      <c r="R53" s="1"/>
      <c r="S53" s="1"/>
      <c r="T53" s="1"/>
      <c r="U53" s="1"/>
      <c r="V53" s="1"/>
      <c r="W53" s="1"/>
      <c r="X53" s="1"/>
      <c r="Y53" s="1"/>
    </row>
    <row r="54" customFormat="false" ht="15.75" hidden="false" customHeight="true" outlineLevel="0" collapsed="false">
      <c r="A54" s="98"/>
      <c r="B54" s="98"/>
      <c r="C54" s="99"/>
      <c r="D54" s="101"/>
      <c r="E54" s="101" t="n">
        <v>85</v>
      </c>
      <c r="F54" s="117" t="n">
        <v>594</v>
      </c>
      <c r="G54" s="101"/>
      <c r="H54" s="101"/>
      <c r="I54" s="101"/>
      <c r="J54" s="113"/>
      <c r="K54" s="121"/>
      <c r="L54" s="101"/>
      <c r="M54" s="101"/>
      <c r="N54" s="118"/>
      <c r="O54" s="120"/>
      <c r="P54" s="1"/>
      <c r="Q54" s="8"/>
      <c r="R54" s="1"/>
      <c r="S54" s="1"/>
      <c r="T54" s="1"/>
      <c r="U54" s="1"/>
      <c r="V54" s="1"/>
      <c r="W54" s="1"/>
      <c r="X54" s="1"/>
      <c r="Y54" s="1"/>
    </row>
    <row r="55" customFormat="false" ht="15.75" hidden="false" customHeight="true" outlineLevel="0" collapsed="false">
      <c r="A55" s="98"/>
      <c r="B55" s="98"/>
      <c r="C55" s="99"/>
      <c r="D55" s="101" t="n">
        <v>1400</v>
      </c>
      <c r="E55" s="101"/>
      <c r="F55" s="117" t="s">
        <v>111</v>
      </c>
      <c r="G55" s="101"/>
      <c r="H55" s="101"/>
      <c r="I55" s="101"/>
      <c r="J55" s="100"/>
      <c r="K55" s="122"/>
      <c r="L55" s="101"/>
      <c r="M55" s="101"/>
      <c r="N55" s="118"/>
      <c r="O55" s="120"/>
      <c r="P55" s="1"/>
      <c r="Q55" s="8"/>
      <c r="R55" s="1"/>
      <c r="S55" s="1"/>
      <c r="T55" s="1"/>
      <c r="U55" s="1"/>
      <c r="V55" s="1"/>
      <c r="W55" s="1"/>
      <c r="X55" s="1"/>
      <c r="Y55" s="1"/>
    </row>
    <row r="56" customFormat="false" ht="15.75" hidden="false" customHeight="true" outlineLevel="0" collapsed="false">
      <c r="A56" s="98"/>
      <c r="B56" s="98"/>
      <c r="C56" s="99"/>
      <c r="D56" s="101"/>
      <c r="E56" s="101" t="n">
        <v>1345</v>
      </c>
      <c r="F56" s="117" t="n">
        <v>550</v>
      </c>
      <c r="G56" s="101"/>
      <c r="H56" s="101"/>
      <c r="I56" s="101"/>
      <c r="J56" s="100"/>
      <c r="K56" s="122"/>
      <c r="L56" s="101"/>
      <c r="M56" s="101"/>
      <c r="N56" s="118"/>
      <c r="O56" s="120"/>
      <c r="P56" s="1"/>
      <c r="Q56" s="8"/>
      <c r="R56" s="1"/>
      <c r="S56" s="1"/>
      <c r="T56" s="1"/>
      <c r="U56" s="1"/>
      <c r="V56" s="1"/>
      <c r="W56" s="1"/>
      <c r="X56" s="1"/>
      <c r="Y56" s="1"/>
    </row>
    <row r="57" customFormat="false" ht="15.75" hidden="false" customHeight="true" outlineLevel="0" collapsed="false">
      <c r="A57" s="98"/>
      <c r="B57" s="98"/>
      <c r="C57" s="99"/>
      <c r="D57" s="101"/>
      <c r="E57" s="101" t="n">
        <v>265</v>
      </c>
      <c r="F57" s="117" t="n">
        <v>173</v>
      </c>
      <c r="G57" s="101"/>
      <c r="H57" s="101"/>
      <c r="I57" s="101"/>
      <c r="J57" s="100"/>
      <c r="K57" s="122"/>
      <c r="L57" s="101"/>
      <c r="M57" s="101"/>
      <c r="N57" s="118"/>
      <c r="O57" s="120"/>
      <c r="P57" s="1"/>
      <c r="Q57" s="8"/>
      <c r="R57" s="1"/>
      <c r="S57" s="1"/>
      <c r="T57" s="1"/>
      <c r="U57" s="1"/>
      <c r="V57" s="1"/>
      <c r="W57" s="1"/>
      <c r="X57" s="1"/>
      <c r="Y57" s="1"/>
    </row>
    <row r="58" customFormat="false" ht="15.75" hidden="false" customHeight="true" outlineLevel="0" collapsed="false">
      <c r="A58" s="98"/>
      <c r="B58" s="98"/>
      <c r="C58" s="99"/>
      <c r="D58" s="101"/>
      <c r="E58" s="101" t="n">
        <v>65</v>
      </c>
      <c r="F58" s="117" t="s">
        <v>104</v>
      </c>
      <c r="G58" s="101"/>
      <c r="H58" s="101"/>
      <c r="I58" s="101"/>
      <c r="J58" s="100"/>
      <c r="K58" s="122"/>
      <c r="L58" s="101"/>
      <c r="M58" s="101"/>
      <c r="N58" s="118"/>
      <c r="O58" s="120"/>
      <c r="P58" s="1"/>
      <c r="Q58" s="8"/>
      <c r="R58" s="1"/>
      <c r="S58" s="1"/>
      <c r="T58" s="1"/>
      <c r="U58" s="1"/>
      <c r="V58" s="1"/>
      <c r="W58" s="1"/>
      <c r="X58" s="1"/>
      <c r="Y58" s="1"/>
    </row>
    <row r="59" customFormat="false" ht="15.75" hidden="false" customHeight="true" outlineLevel="0" collapsed="false">
      <c r="A59" s="98"/>
      <c r="B59" s="98"/>
      <c r="C59" s="99"/>
      <c r="D59" s="123" t="n">
        <f aca="false">SUM(D40:D58)</f>
        <v>8170</v>
      </c>
      <c r="E59" s="123" t="n">
        <f aca="false">SUM(E40:E58)</f>
        <v>4086</v>
      </c>
      <c r="F59" s="117"/>
      <c r="G59" s="123"/>
      <c r="H59" s="123" t="n">
        <f aca="false">SUM(H40:H58)</f>
        <v>270</v>
      </c>
      <c r="I59" s="123" t="n">
        <f aca="false">SUM(I40:I58)</f>
        <v>4556</v>
      </c>
      <c r="J59" s="100"/>
      <c r="K59" s="100"/>
      <c r="L59" s="101" t="n">
        <f aca="false">SUM(L40:L58)</f>
        <v>0</v>
      </c>
      <c r="M59" s="101" t="n">
        <f aca="false">SUM(M40:M58)</f>
        <v>0</v>
      </c>
      <c r="N59" s="100"/>
      <c r="O59" s="100"/>
      <c r="P59" s="1"/>
      <c r="Q59" s="8"/>
      <c r="R59" s="1"/>
      <c r="S59" s="1"/>
      <c r="T59" s="1"/>
      <c r="U59" s="1"/>
      <c r="V59" s="1"/>
      <c r="W59" s="1"/>
      <c r="X59" s="1"/>
      <c r="Y59" s="1"/>
    </row>
    <row r="60" customFormat="false" ht="15.75" hidden="false" customHeight="true" outlineLevel="0" collapsed="false">
      <c r="A60" s="1"/>
      <c r="B60" s="1"/>
      <c r="C60" s="1"/>
      <c r="D60" s="1"/>
      <c r="E60" s="1"/>
      <c r="F60" s="8"/>
      <c r="G60" s="8"/>
      <c r="H60" s="8"/>
      <c r="I60" s="1"/>
      <c r="J60" s="2"/>
      <c r="K60" s="1"/>
      <c r="L60" s="83"/>
      <c r="M60" s="83"/>
      <c r="N60" s="124"/>
      <c r="O60" s="124"/>
      <c r="P60" s="1"/>
      <c r="Q60" s="8"/>
      <c r="R60" s="1"/>
      <c r="S60" s="1"/>
      <c r="T60" s="1"/>
      <c r="U60" s="1"/>
      <c r="V60" s="1"/>
      <c r="W60" s="1"/>
      <c r="X60" s="1"/>
      <c r="Y60" s="1"/>
    </row>
    <row r="61" customFormat="false" ht="15.75" hidden="false" customHeight="true" outlineLevel="0" collapsed="false">
      <c r="A61" s="1"/>
      <c r="B61" s="1"/>
      <c r="C61" s="1"/>
      <c r="D61" s="1"/>
      <c r="E61" s="1"/>
      <c r="F61" s="8"/>
      <c r="G61" s="8"/>
      <c r="H61" s="8"/>
      <c r="I61" s="1"/>
      <c r="J61" s="2"/>
      <c r="K61" s="1"/>
      <c r="L61" s="83"/>
      <c r="M61" s="83"/>
      <c r="N61" s="124"/>
      <c r="O61" s="124"/>
      <c r="P61" s="1"/>
      <c r="Q61" s="8"/>
      <c r="R61" s="1"/>
      <c r="S61" s="1"/>
      <c r="T61" s="1"/>
      <c r="U61" s="1"/>
      <c r="V61" s="1"/>
      <c r="W61" s="1"/>
      <c r="X61" s="1"/>
      <c r="Y61" s="1"/>
    </row>
    <row r="62" customFormat="false" ht="15.75" hidden="false" customHeight="true" outlineLevel="0" collapsed="false">
      <c r="A62" s="1"/>
      <c r="B62" s="1"/>
      <c r="C62" s="1"/>
      <c r="D62" s="1"/>
      <c r="E62" s="1"/>
      <c r="F62" s="8"/>
      <c r="G62" s="8"/>
      <c r="H62" s="8"/>
      <c r="I62" s="1"/>
      <c r="J62" s="2"/>
      <c r="K62" s="1"/>
      <c r="L62" s="83"/>
      <c r="M62" s="83"/>
      <c r="N62" s="124"/>
      <c r="O62" s="124"/>
      <c r="P62" s="1"/>
      <c r="Q62" s="8"/>
      <c r="R62" s="1"/>
      <c r="S62" s="1"/>
      <c r="T62" s="1"/>
      <c r="U62" s="1"/>
      <c r="V62" s="1"/>
      <c r="W62" s="1"/>
      <c r="X62" s="1"/>
      <c r="Y62" s="1"/>
    </row>
    <row r="63" customFormat="false" ht="15.75" hidden="false" customHeight="true" outlineLevel="0" collapsed="false">
      <c r="A63" s="1"/>
      <c r="B63" s="1"/>
      <c r="C63" s="1"/>
      <c r="D63" s="1"/>
      <c r="E63" s="1"/>
      <c r="F63" s="8"/>
      <c r="G63" s="8"/>
      <c r="H63" s="8"/>
      <c r="I63" s="1"/>
      <c r="J63" s="2"/>
      <c r="K63" s="1"/>
      <c r="L63" s="125"/>
      <c r="M63" s="125"/>
      <c r="N63" s="124"/>
      <c r="O63" s="124"/>
      <c r="P63" s="1"/>
      <c r="Q63" s="8"/>
      <c r="R63" s="1"/>
      <c r="S63" s="1"/>
      <c r="T63" s="1"/>
      <c r="U63" s="1"/>
      <c r="V63" s="1"/>
      <c r="W63" s="1"/>
      <c r="X63" s="1"/>
      <c r="Y63" s="1"/>
    </row>
    <row r="64" customFormat="false" ht="15.75" hidden="false" customHeight="true" outlineLevel="0" collapsed="false">
      <c r="A64" s="1"/>
      <c r="B64" s="1"/>
      <c r="C64" s="1"/>
      <c r="D64" s="1"/>
      <c r="E64" s="1"/>
      <c r="F64" s="8"/>
      <c r="G64" s="8"/>
      <c r="H64" s="8"/>
      <c r="I64" s="1"/>
      <c r="J64" s="2"/>
      <c r="K64" s="1"/>
      <c r="L64" s="2"/>
      <c r="M64" s="1"/>
      <c r="N64" s="1"/>
      <c r="O64" s="1"/>
      <c r="P64" s="1"/>
      <c r="Q64" s="8"/>
      <c r="R64" s="1"/>
      <c r="S64" s="1"/>
      <c r="T64" s="1"/>
      <c r="U64" s="1"/>
      <c r="V64" s="1"/>
      <c r="W64" s="1"/>
      <c r="X64" s="1"/>
      <c r="Y64" s="1"/>
    </row>
    <row r="65" customFormat="false" ht="15.75" hidden="false" customHeight="true" outlineLevel="0" collapsed="false">
      <c r="A65" s="1"/>
      <c r="B65" s="1"/>
      <c r="C65" s="1"/>
      <c r="D65" s="1"/>
      <c r="E65" s="1"/>
      <c r="F65" s="8"/>
      <c r="G65" s="8"/>
      <c r="H65" s="8"/>
      <c r="I65" s="1"/>
      <c r="J65" s="2"/>
      <c r="K65" s="1"/>
      <c r="L65" s="2"/>
      <c r="M65" s="1"/>
      <c r="N65" s="1"/>
      <c r="O65" s="1"/>
      <c r="P65" s="1"/>
      <c r="Q65" s="8"/>
      <c r="R65" s="1"/>
      <c r="S65" s="1"/>
      <c r="T65" s="1"/>
      <c r="U65" s="1"/>
      <c r="V65" s="1"/>
      <c r="W65" s="1"/>
      <c r="X65" s="1"/>
      <c r="Y65" s="1"/>
    </row>
    <row r="66" customFormat="false" ht="15.75" hidden="false" customHeight="true" outlineLevel="0" collapsed="false">
      <c r="A66" s="1"/>
      <c r="B66" s="1"/>
      <c r="C66" s="1"/>
      <c r="D66" s="1"/>
      <c r="E66" s="1"/>
      <c r="F66" s="8"/>
      <c r="G66" s="8"/>
      <c r="H66" s="8"/>
      <c r="I66" s="1"/>
      <c r="J66" s="2"/>
      <c r="K66" s="1"/>
      <c r="L66" s="2"/>
      <c r="M66" s="1"/>
      <c r="N66" s="1"/>
      <c r="O66" s="1"/>
      <c r="P66" s="1"/>
      <c r="Q66" s="8"/>
      <c r="R66" s="1"/>
      <c r="S66" s="1"/>
      <c r="T66" s="1"/>
      <c r="U66" s="1"/>
      <c r="V66" s="1"/>
      <c r="W66" s="1"/>
      <c r="X66" s="1"/>
      <c r="Y66" s="1"/>
    </row>
    <row r="67" customFormat="false" ht="15.75" hidden="false" customHeight="true" outlineLevel="0" collapsed="false">
      <c r="A67" s="1"/>
      <c r="B67" s="1"/>
      <c r="C67" s="1"/>
      <c r="D67" s="1"/>
      <c r="E67" s="1"/>
      <c r="F67" s="8"/>
      <c r="G67" s="8"/>
      <c r="H67" s="8"/>
      <c r="I67" s="1"/>
      <c r="J67" s="2"/>
      <c r="K67" s="1"/>
      <c r="L67" s="2"/>
      <c r="M67" s="1"/>
      <c r="N67" s="1"/>
      <c r="O67" s="1"/>
      <c r="P67" s="1"/>
      <c r="Q67" s="8"/>
      <c r="R67" s="1"/>
      <c r="S67" s="1"/>
      <c r="T67" s="1"/>
      <c r="U67" s="1"/>
      <c r="V67" s="1"/>
      <c r="W67" s="1"/>
      <c r="X67" s="1"/>
      <c r="Y67" s="1"/>
    </row>
    <row r="68" customFormat="false" ht="15.75" hidden="false" customHeight="true" outlineLevel="0" collapsed="false">
      <c r="A68" s="1"/>
      <c r="B68" s="1"/>
      <c r="C68" s="1"/>
      <c r="D68" s="1"/>
      <c r="E68" s="1"/>
      <c r="F68" s="8"/>
      <c r="G68" s="8"/>
      <c r="H68" s="8"/>
      <c r="I68" s="1"/>
      <c r="J68" s="2"/>
      <c r="K68" s="1"/>
      <c r="L68" s="2"/>
      <c r="M68" s="1"/>
      <c r="N68" s="1"/>
      <c r="O68" s="1"/>
      <c r="P68" s="1"/>
      <c r="Q68" s="8"/>
      <c r="R68" s="1"/>
      <c r="S68" s="1"/>
      <c r="T68" s="1"/>
      <c r="U68" s="1"/>
      <c r="V68" s="1"/>
      <c r="W68" s="1"/>
      <c r="X68" s="1"/>
      <c r="Y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8"/>
      <c r="G69" s="8"/>
      <c r="H69" s="8"/>
      <c r="I69" s="1"/>
      <c r="J69" s="2"/>
      <c r="K69" s="1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customFormat="false" ht="15.75" hidden="false" customHeight="true" outlineLevel="0" collapsed="false">
      <c r="A70" s="1"/>
      <c r="B70" s="1"/>
      <c r="C70" s="1"/>
      <c r="D70" s="1"/>
      <c r="E70" s="1"/>
      <c r="F70" s="8"/>
      <c r="G70" s="8"/>
      <c r="H70" s="8"/>
      <c r="I70" s="1"/>
      <c r="J70" s="2"/>
      <c r="K70" s="1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customFormat="false" ht="15.75" hidden="false" customHeight="true" outlineLevel="0" collapsed="false">
      <c r="A71" s="1"/>
      <c r="B71" s="1"/>
      <c r="C71" s="1"/>
      <c r="D71" s="1"/>
      <c r="E71" s="1"/>
      <c r="F71" s="8"/>
      <c r="G71" s="8"/>
      <c r="H71" s="8"/>
      <c r="I71" s="1"/>
      <c r="J71" s="2"/>
      <c r="K71" s="1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customFormat="false" ht="15.75" hidden="false" customHeight="true" outlineLevel="0" collapsed="false">
      <c r="A72" s="1"/>
      <c r="B72" s="1"/>
      <c r="C72" s="1"/>
      <c r="D72" s="1"/>
      <c r="E72" s="1"/>
      <c r="F72" s="8"/>
      <c r="G72" s="8"/>
      <c r="H72" s="8"/>
      <c r="I72" s="1"/>
      <c r="J72" s="2"/>
      <c r="K72" s="1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customFormat="false" ht="15.75" hidden="false" customHeight="true" outlineLevel="0" collapsed="false">
      <c r="A73" s="1"/>
      <c r="B73" s="1"/>
      <c r="C73" s="1"/>
      <c r="D73" s="1"/>
      <c r="E73" s="1"/>
      <c r="F73" s="8"/>
      <c r="G73" s="8"/>
      <c r="H73" s="8"/>
      <c r="I73" s="1"/>
      <c r="J73" s="2"/>
      <c r="K73" s="1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customFormat="false" ht="15.75" hidden="false" customHeight="true" outlineLevel="0" collapsed="false">
      <c r="A74" s="1"/>
      <c r="B74" s="1"/>
      <c r="C74" s="1"/>
      <c r="D74" s="1"/>
      <c r="E74" s="1"/>
      <c r="F74" s="8"/>
      <c r="G74" s="8"/>
      <c r="H74" s="8"/>
      <c r="I74" s="1"/>
      <c r="J74" s="2"/>
      <c r="K74" s="1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customFormat="false" ht="15.75" hidden="false" customHeight="true" outlineLevel="0" collapsed="false">
      <c r="A75" s="1"/>
      <c r="B75" s="1"/>
      <c r="C75" s="1"/>
      <c r="D75" s="1"/>
      <c r="E75" s="1"/>
      <c r="F75" s="8"/>
      <c r="G75" s="8"/>
      <c r="H75" s="8"/>
      <c r="I75" s="1"/>
      <c r="J75" s="2"/>
      <c r="K75" s="1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customFormat="false" ht="15.75" hidden="false" customHeight="true" outlineLevel="0" collapsed="false">
      <c r="A76" s="1"/>
      <c r="B76" s="1"/>
      <c r="C76" s="1"/>
      <c r="D76" s="1"/>
      <c r="E76" s="1"/>
      <c r="F76" s="8"/>
      <c r="G76" s="8"/>
      <c r="H76" s="8"/>
      <c r="I76" s="1"/>
      <c r="J76" s="2"/>
      <c r="K76" s="1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2"/>
      <c r="K77" s="1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2"/>
      <c r="K78" s="1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2"/>
      <c r="K79" s="1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2"/>
      <c r="K80" s="1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2"/>
      <c r="K81" s="1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2"/>
      <c r="K82" s="1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2"/>
      <c r="K83" s="1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2"/>
      <c r="K84" s="1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2"/>
      <c r="K85" s="1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2"/>
      <c r="K86" s="1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2"/>
      <c r="K87" s="1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2"/>
      <c r="K88" s="1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2"/>
      <c r="K89" s="1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2"/>
      <c r="K90" s="1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2"/>
      <c r="K91" s="1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2"/>
      <c r="K92" s="1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2"/>
      <c r="K93" s="1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2"/>
      <c r="K94" s="1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2"/>
      <c r="K95" s="1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2"/>
      <c r="K96" s="1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2"/>
      <c r="K97" s="1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2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2"/>
      <c r="K99" s="1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1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1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1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1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1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1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1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1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1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1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1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1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1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1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1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1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1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1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1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1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1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1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1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1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1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1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1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1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1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1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1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1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1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1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1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1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1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1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1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1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1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1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1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1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1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1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1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1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1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1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1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1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1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1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1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1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1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1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1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1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1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1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1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1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1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1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1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1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1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1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1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1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1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1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1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1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2"/>
      <c r="K223" s="1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2"/>
      <c r="K224" s="1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2"/>
      <c r="K225" s="1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2"/>
      <c r="K226" s="1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2"/>
      <c r="K227" s="1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2"/>
      <c r="K228" s="1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2"/>
      <c r="K229" s="1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2"/>
      <c r="K230" s="1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2"/>
      <c r="K231" s="1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2"/>
      <c r="K232" s="1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2"/>
      <c r="K233" s="1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2"/>
      <c r="K234" s="1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2"/>
      <c r="K235" s="1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2"/>
      <c r="K236" s="1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2"/>
      <c r="K237" s="1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2"/>
      <c r="K238" s="1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2"/>
      <c r="K239" s="1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2"/>
      <c r="K240" s="1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2"/>
      <c r="K241" s="1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2"/>
      <c r="K242" s="1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2"/>
      <c r="K243" s="1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2"/>
      <c r="K244" s="1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2"/>
      <c r="K245" s="1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2"/>
      <c r="K246" s="1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2"/>
      <c r="K247" s="1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2"/>
      <c r="K248" s="1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2"/>
      <c r="K249" s="1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2"/>
      <c r="K250" s="1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2"/>
      <c r="K251" s="1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2"/>
      <c r="K252" s="1"/>
      <c r="L252" s="2"/>
      <c r="M252" s="1"/>
      <c r="N252" s="1"/>
      <c r="O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2"/>
      <c r="K253" s="1"/>
      <c r="L253" s="2"/>
      <c r="M253" s="1"/>
      <c r="N253" s="1"/>
      <c r="O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2"/>
      <c r="K254" s="1"/>
      <c r="L254" s="2"/>
      <c r="M254" s="1"/>
      <c r="N254" s="1"/>
      <c r="O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2"/>
      <c r="K255" s="1"/>
      <c r="L255" s="2"/>
      <c r="M255" s="1"/>
      <c r="N255" s="1"/>
      <c r="O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2"/>
      <c r="K256" s="1"/>
      <c r="L256" s="2"/>
      <c r="M256" s="1"/>
      <c r="N256" s="1"/>
      <c r="O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2"/>
      <c r="K257" s="1"/>
      <c r="L257" s="2"/>
      <c r="M257" s="1"/>
      <c r="N257" s="1"/>
      <c r="O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2"/>
      <c r="K258" s="1"/>
      <c r="L258" s="2"/>
      <c r="M258" s="1"/>
      <c r="N258" s="1"/>
      <c r="O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2"/>
      <c r="K259" s="1"/>
      <c r="L259" s="2"/>
      <c r="M259" s="1"/>
      <c r="N259" s="1"/>
      <c r="O259" s="1"/>
    </row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4">
    <mergeCell ref="F2:F3"/>
    <mergeCell ref="I2:K2"/>
    <mergeCell ref="M2:P2"/>
    <mergeCell ref="R2:T2"/>
    <mergeCell ref="V2:Y2"/>
    <mergeCell ref="D3:E3"/>
    <mergeCell ref="B23:D27"/>
    <mergeCell ref="I23:K23"/>
    <mergeCell ref="M23:P23"/>
    <mergeCell ref="R23:T23"/>
    <mergeCell ref="V23:Y23"/>
    <mergeCell ref="B28:D32"/>
    <mergeCell ref="A34:C34"/>
    <mergeCell ref="A36:B36"/>
    <mergeCell ref="A39:B59"/>
    <mergeCell ref="C39:C59"/>
    <mergeCell ref="N40:O40"/>
    <mergeCell ref="N41:O41"/>
    <mergeCell ref="N42:O42"/>
    <mergeCell ref="N43:O43"/>
    <mergeCell ref="N44:O44"/>
    <mergeCell ref="N45:O45"/>
    <mergeCell ref="N46:O46"/>
    <mergeCell ref="N47:O47"/>
    <mergeCell ref="N48:O48"/>
    <mergeCell ref="J49:K49"/>
    <mergeCell ref="N49:O49"/>
    <mergeCell ref="J50:K50"/>
    <mergeCell ref="J59:K59"/>
    <mergeCell ref="N59:O59"/>
    <mergeCell ref="N60:O60"/>
    <mergeCell ref="N61:O61"/>
    <mergeCell ref="N62:O62"/>
    <mergeCell ref="N63:O6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sheetData>
    <row r="1" customFormat="false" ht="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  <c r="J1" s="1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15.75" hidden="true" customHeight="true" outlineLevel="0" collapsed="false">
      <c r="A2" s="3" t="s">
        <v>1</v>
      </c>
      <c r="B2" s="4"/>
      <c r="C2" s="5"/>
      <c r="D2" s="5" t="s">
        <v>2</v>
      </c>
      <c r="E2" s="6"/>
      <c r="F2" s="7" t="s">
        <v>3</v>
      </c>
      <c r="G2" s="8"/>
      <c r="H2" s="9" t="s">
        <v>4</v>
      </c>
      <c r="I2" s="9"/>
      <c r="J2" s="9"/>
      <c r="K2" s="10"/>
      <c r="L2" s="11" t="s">
        <v>5</v>
      </c>
      <c r="M2" s="11"/>
      <c r="N2" s="11"/>
      <c r="O2" s="11"/>
      <c r="P2" s="12"/>
      <c r="Q2" s="13" t="s">
        <v>6</v>
      </c>
      <c r="R2" s="13"/>
      <c r="S2" s="13"/>
      <c r="T2" s="14"/>
      <c r="U2" s="15" t="s">
        <v>5</v>
      </c>
      <c r="V2" s="15"/>
      <c r="W2" s="15"/>
      <c r="X2" s="15"/>
    </row>
    <row r="3" customFormat="false" ht="15.75" hidden="false" customHeight="true" outlineLevel="0" collapsed="false">
      <c r="A3" s="16"/>
      <c r="B3" s="17"/>
      <c r="C3" s="18"/>
      <c r="D3" s="19" t="s">
        <v>7</v>
      </c>
      <c r="E3" s="19"/>
      <c r="F3" s="7"/>
      <c r="G3" s="8"/>
      <c r="H3" s="20"/>
      <c r="I3" s="21"/>
      <c r="J3" s="22"/>
      <c r="K3" s="23"/>
      <c r="L3" s="12"/>
      <c r="M3" s="24"/>
      <c r="N3" s="24"/>
      <c r="O3" s="25"/>
      <c r="P3" s="12"/>
      <c r="Q3" s="20"/>
      <c r="R3" s="22"/>
      <c r="S3" s="22"/>
      <c r="T3" s="12"/>
      <c r="U3" s="12"/>
      <c r="V3" s="24"/>
      <c r="W3" s="24"/>
      <c r="X3" s="25"/>
    </row>
    <row r="4" customFormat="false" ht="15.75" hidden="false" customHeight="true" outlineLevel="0" collapsed="false">
      <c r="A4" s="26" t="s">
        <v>8</v>
      </c>
      <c r="B4" s="27"/>
      <c r="C4" s="28"/>
      <c r="D4" s="28"/>
      <c r="E4" s="29" t="n">
        <v>2000</v>
      </c>
      <c r="F4" s="30" t="n">
        <f aca="false">SUM(B4:E4)</f>
        <v>2000</v>
      </c>
      <c r="G4" s="8"/>
      <c r="H4" s="31" t="s">
        <v>9</v>
      </c>
      <c r="I4" s="32" t="s">
        <v>10</v>
      </c>
      <c r="J4" s="33" t="s">
        <v>11</v>
      </c>
      <c r="K4" s="32" t="s">
        <v>12</v>
      </c>
      <c r="L4" s="34" t="s">
        <v>13</v>
      </c>
      <c r="M4" s="34" t="s">
        <v>14</v>
      </c>
      <c r="N4" s="34" t="s">
        <v>15</v>
      </c>
      <c r="O4" s="35" t="s">
        <v>16</v>
      </c>
      <c r="P4" s="12"/>
      <c r="Q4" s="31" t="s">
        <v>9</v>
      </c>
      <c r="R4" s="32" t="s">
        <v>10</v>
      </c>
      <c r="S4" s="33" t="s">
        <v>11</v>
      </c>
      <c r="T4" s="32" t="s">
        <v>12</v>
      </c>
      <c r="U4" s="34" t="s">
        <v>13</v>
      </c>
      <c r="V4" s="34" t="s">
        <v>14</v>
      </c>
      <c r="W4" s="34" t="s">
        <v>15</v>
      </c>
      <c r="X4" s="35" t="s">
        <v>16</v>
      </c>
    </row>
    <row r="5" customFormat="false" ht="15.75" hidden="false" customHeight="true" outlineLevel="0" collapsed="false">
      <c r="A5" s="36"/>
      <c r="B5" s="37"/>
      <c r="C5" s="38"/>
      <c r="D5" s="39"/>
      <c r="E5" s="37" t="n">
        <v>493</v>
      </c>
      <c r="F5" s="40" t="n">
        <v>1390</v>
      </c>
      <c r="G5" s="8"/>
      <c r="H5" s="126" t="s">
        <v>134</v>
      </c>
      <c r="I5" s="127" t="s">
        <v>135</v>
      </c>
      <c r="J5" s="128" t="n">
        <v>3000</v>
      </c>
      <c r="K5" s="44" t="n">
        <f aca="false">SUM(J5*90/100)</f>
        <v>2700</v>
      </c>
      <c r="L5" s="45" t="n">
        <v>5</v>
      </c>
      <c r="M5" s="44" t="n">
        <f aca="false">K5-L5</f>
        <v>2695</v>
      </c>
      <c r="N5" s="46" t="s">
        <v>112</v>
      </c>
      <c r="O5" s="47" t="s">
        <v>39</v>
      </c>
      <c r="P5" s="12"/>
      <c r="Q5" s="41" t="n">
        <v>24065</v>
      </c>
      <c r="R5" s="42" t="s">
        <v>136</v>
      </c>
      <c r="S5" s="43" t="n">
        <v>1000</v>
      </c>
      <c r="T5" s="48" t="n">
        <f aca="false">SUM(S5*90/100)</f>
        <v>900</v>
      </c>
      <c r="U5" s="45" t="n">
        <v>50</v>
      </c>
      <c r="V5" s="48" t="n">
        <f aca="false">T5-U5</f>
        <v>850</v>
      </c>
      <c r="W5" s="46" t="s">
        <v>47</v>
      </c>
      <c r="X5" s="47" t="s">
        <v>51</v>
      </c>
    </row>
    <row r="6" customFormat="false" ht="15.75" hidden="false" customHeight="true" outlineLevel="0" collapsed="false">
      <c r="A6" s="49"/>
      <c r="B6" s="50"/>
      <c r="C6" s="51"/>
      <c r="D6" s="51"/>
      <c r="E6" s="50"/>
      <c r="F6" s="52" t="n">
        <v>131844</v>
      </c>
      <c r="G6" s="8"/>
      <c r="H6" s="126" t="s">
        <v>137</v>
      </c>
      <c r="I6" s="127" t="s">
        <v>138</v>
      </c>
      <c r="J6" s="128" t="n">
        <v>9500</v>
      </c>
      <c r="K6" s="44" t="n">
        <f aca="false">SUM(J6*90/100)</f>
        <v>8550</v>
      </c>
      <c r="L6" s="45" t="n">
        <v>5</v>
      </c>
      <c r="M6" s="44" t="n">
        <f aca="false">K6-L6</f>
        <v>8545</v>
      </c>
      <c r="N6" s="46" t="s">
        <v>112</v>
      </c>
      <c r="O6" s="47" t="s">
        <v>39</v>
      </c>
      <c r="P6" s="12"/>
      <c r="Q6" s="41" t="s">
        <v>139</v>
      </c>
      <c r="R6" s="42" t="s">
        <v>140</v>
      </c>
      <c r="S6" s="43" t="n">
        <v>3000</v>
      </c>
      <c r="T6" s="48" t="n">
        <f aca="false">SUM(S6*90/100)</f>
        <v>2700</v>
      </c>
      <c r="U6" s="45" t="n">
        <v>5</v>
      </c>
      <c r="V6" s="48" t="n">
        <f aca="false">T6-U6</f>
        <v>2695</v>
      </c>
      <c r="W6" s="46" t="s">
        <v>112</v>
      </c>
      <c r="X6" s="47" t="s">
        <v>44</v>
      </c>
    </row>
    <row r="7" customFormat="false" ht="15.75" hidden="false" customHeight="true" outlineLevel="0" collapsed="false">
      <c r="A7" s="53" t="s">
        <v>17</v>
      </c>
      <c r="B7" s="54" t="n">
        <f aca="false">C39</f>
        <v>9057.3</v>
      </c>
      <c r="C7" s="55" t="n">
        <v>100</v>
      </c>
      <c r="D7" s="56" t="s">
        <v>18</v>
      </c>
      <c r="E7" s="57" t="n">
        <v>0</v>
      </c>
      <c r="F7" s="58" t="n">
        <f aca="false">SUM(A5:F6)</f>
        <v>133727</v>
      </c>
      <c r="G7" s="8"/>
      <c r="H7" s="126" t="s">
        <v>141</v>
      </c>
      <c r="I7" s="127" t="s">
        <v>142</v>
      </c>
      <c r="J7" s="128" t="n">
        <v>11000</v>
      </c>
      <c r="K7" s="44" t="n">
        <f aca="false">SUM(J7*90/100)</f>
        <v>9900</v>
      </c>
      <c r="L7" s="45" t="n">
        <v>5</v>
      </c>
      <c r="M7" s="44" t="n">
        <f aca="false">K7-L7</f>
        <v>9895</v>
      </c>
      <c r="N7" s="46" t="s">
        <v>112</v>
      </c>
      <c r="O7" s="47" t="s">
        <v>39</v>
      </c>
      <c r="P7" s="12"/>
      <c r="Q7" s="41" t="s">
        <v>143</v>
      </c>
      <c r="R7" s="42" t="s">
        <v>144</v>
      </c>
      <c r="S7" s="43" t="n">
        <v>350</v>
      </c>
      <c r="T7" s="48" t="n">
        <f aca="false">SUM(S7*90/100)</f>
        <v>315</v>
      </c>
      <c r="U7" s="45" t="n">
        <v>5</v>
      </c>
      <c r="V7" s="48" t="n">
        <f aca="false">T7-U7</f>
        <v>310</v>
      </c>
      <c r="W7" s="46" t="s">
        <v>112</v>
      </c>
      <c r="X7" s="47" t="s">
        <v>44</v>
      </c>
    </row>
    <row r="8" customFormat="false" ht="15.75" hidden="false" customHeight="true" outlineLevel="0" collapsed="false">
      <c r="A8" s="16" t="s">
        <v>19</v>
      </c>
      <c r="B8" s="57"/>
      <c r="C8" s="55" t="n">
        <v>50</v>
      </c>
      <c r="D8" s="56" t="s">
        <v>18</v>
      </c>
      <c r="E8" s="37" t="n">
        <v>16800</v>
      </c>
      <c r="F8" s="40"/>
      <c r="G8" s="8"/>
      <c r="H8" s="41" t="n">
        <v>23255</v>
      </c>
      <c r="I8" s="42" t="s">
        <v>145</v>
      </c>
      <c r="J8" s="43" t="n">
        <v>13000</v>
      </c>
      <c r="K8" s="44" t="n">
        <f aca="false">SUM(J8*90/100)</f>
        <v>11700</v>
      </c>
      <c r="L8" s="45" t="n">
        <v>5</v>
      </c>
      <c r="M8" s="44" t="n">
        <f aca="false">K8-L8</f>
        <v>11695</v>
      </c>
      <c r="N8" s="46" t="s">
        <v>112</v>
      </c>
      <c r="O8" s="47" t="s">
        <v>39</v>
      </c>
      <c r="P8" s="12"/>
      <c r="Q8" s="126" t="s">
        <v>146</v>
      </c>
      <c r="R8" s="127" t="s">
        <v>147</v>
      </c>
      <c r="S8" s="128" t="n">
        <v>1000</v>
      </c>
      <c r="T8" s="129" t="n">
        <f aca="false">SUM(S8*90/100)</f>
        <v>900</v>
      </c>
      <c r="U8" s="130" t="n">
        <v>50</v>
      </c>
      <c r="V8" s="129" t="n">
        <f aca="false">T8-U8</f>
        <v>850</v>
      </c>
      <c r="W8" s="129" t="s">
        <v>47</v>
      </c>
      <c r="X8" s="131" t="s">
        <v>73</v>
      </c>
    </row>
    <row r="9" customFormat="false" ht="15.75" hidden="false" customHeight="true" outlineLevel="0" collapsed="false">
      <c r="A9" s="59" t="s">
        <v>148</v>
      </c>
      <c r="B9" s="17" t="n">
        <v>20</v>
      </c>
      <c r="C9" s="55" t="n">
        <v>10</v>
      </c>
      <c r="D9" s="56" t="s">
        <v>18</v>
      </c>
      <c r="E9" s="50" t="n">
        <v>580</v>
      </c>
      <c r="F9" s="40"/>
      <c r="G9" s="8"/>
      <c r="H9" s="41" t="n">
        <v>24006</v>
      </c>
      <c r="I9" s="42" t="s">
        <v>149</v>
      </c>
      <c r="J9" s="43" t="n">
        <v>2000</v>
      </c>
      <c r="K9" s="44" t="n">
        <f aca="false">SUM(J9*90/100)</f>
        <v>1800</v>
      </c>
      <c r="L9" s="45" t="n">
        <v>5</v>
      </c>
      <c r="M9" s="44" t="n">
        <f aca="false">K9-L9</f>
        <v>1795</v>
      </c>
      <c r="N9" s="46" t="s">
        <v>112</v>
      </c>
      <c r="O9" s="47" t="s">
        <v>39</v>
      </c>
      <c r="P9" s="12"/>
      <c r="Q9" s="41" t="s">
        <v>45</v>
      </c>
      <c r="R9" s="42" t="s">
        <v>46</v>
      </c>
      <c r="S9" s="43" t="n">
        <v>100</v>
      </c>
      <c r="T9" s="48" t="n">
        <f aca="false">SUM(S9*90/100)</f>
        <v>90</v>
      </c>
      <c r="U9" s="45" t="n">
        <v>5</v>
      </c>
      <c r="V9" s="48" t="n">
        <f aca="false">T9-U9</f>
        <v>85</v>
      </c>
      <c r="W9" s="46" t="s">
        <v>47</v>
      </c>
      <c r="X9" s="47" t="s">
        <v>48</v>
      </c>
    </row>
    <row r="10" customFormat="false" ht="15.75" hidden="false" customHeight="true" outlineLevel="0" collapsed="false">
      <c r="A10" s="59" t="s">
        <v>113</v>
      </c>
      <c r="B10" s="17" t="n">
        <v>9640</v>
      </c>
      <c r="C10" s="55" t="n">
        <v>5</v>
      </c>
      <c r="D10" s="18" t="s">
        <v>18</v>
      </c>
      <c r="E10" s="50" t="n">
        <v>10</v>
      </c>
      <c r="F10" s="40"/>
      <c r="G10" s="8"/>
      <c r="H10" s="41" t="n">
        <v>24091</v>
      </c>
      <c r="I10" s="42" t="s">
        <v>150</v>
      </c>
      <c r="J10" s="43" t="n">
        <v>600</v>
      </c>
      <c r="K10" s="44" t="n">
        <f aca="false">SUM(J10*90/100)</f>
        <v>540</v>
      </c>
      <c r="L10" s="45" t="n">
        <v>5</v>
      </c>
      <c r="M10" s="44" t="n">
        <f aca="false">K10-L10</f>
        <v>535</v>
      </c>
      <c r="N10" s="46" t="s">
        <v>112</v>
      </c>
      <c r="O10" s="47" t="s">
        <v>39</v>
      </c>
      <c r="P10" s="12"/>
      <c r="Q10" s="126" t="s">
        <v>151</v>
      </c>
      <c r="R10" s="127" t="s">
        <v>152</v>
      </c>
      <c r="S10" s="128" t="n">
        <v>2500</v>
      </c>
      <c r="T10" s="48" t="n">
        <f aca="false">SUM(S10*90/100)</f>
        <v>2250</v>
      </c>
      <c r="U10" s="45" t="n">
        <v>5</v>
      </c>
      <c r="V10" s="48" t="n">
        <f aca="false">T10-U10</f>
        <v>2245</v>
      </c>
      <c r="W10" s="46" t="s">
        <v>112</v>
      </c>
      <c r="X10" s="47" t="s">
        <v>39</v>
      </c>
    </row>
    <row r="11" customFormat="false" ht="15.75" hidden="false" customHeight="true" outlineLevel="0" collapsed="false">
      <c r="A11" s="59" t="s">
        <v>153</v>
      </c>
      <c r="B11" s="57" t="n">
        <v>98</v>
      </c>
      <c r="C11" s="55" t="n">
        <v>1</v>
      </c>
      <c r="D11" s="60" t="s">
        <v>18</v>
      </c>
      <c r="E11" s="50" t="n">
        <v>42</v>
      </c>
      <c r="F11" s="40"/>
      <c r="G11" s="8"/>
      <c r="H11" s="41" t="n">
        <v>22079</v>
      </c>
      <c r="I11" s="42" t="s">
        <v>154</v>
      </c>
      <c r="J11" s="43" t="n">
        <v>300</v>
      </c>
      <c r="K11" s="44" t="n">
        <f aca="false">SUM(J11*90/100)</f>
        <v>270</v>
      </c>
      <c r="L11" s="45" t="n">
        <v>5</v>
      </c>
      <c r="M11" s="44" t="n">
        <f aca="false">K11-L11</f>
        <v>265</v>
      </c>
      <c r="N11" s="46" t="s">
        <v>112</v>
      </c>
      <c r="O11" s="47" t="s">
        <v>39</v>
      </c>
      <c r="P11" s="12"/>
      <c r="Q11" s="41" t="n">
        <v>24086</v>
      </c>
      <c r="R11" s="42" t="s">
        <v>155</v>
      </c>
      <c r="S11" s="43" t="n">
        <v>950</v>
      </c>
      <c r="T11" s="48" t="n">
        <f aca="false">SUM(S11*90/100)</f>
        <v>855</v>
      </c>
      <c r="U11" s="45" t="n">
        <v>5</v>
      </c>
      <c r="V11" s="48" t="n">
        <f aca="false">T11-U11</f>
        <v>850</v>
      </c>
      <c r="W11" s="46" t="s">
        <v>112</v>
      </c>
      <c r="X11" s="47" t="s">
        <v>39</v>
      </c>
    </row>
    <row r="12" customFormat="false" ht="15.75" hidden="false" customHeight="true" outlineLevel="0" collapsed="false">
      <c r="A12" s="59" t="s">
        <v>39</v>
      </c>
      <c r="B12" s="57" t="n">
        <v>1400.7</v>
      </c>
      <c r="C12" s="61" t="s">
        <v>20</v>
      </c>
      <c r="D12" s="56" t="s">
        <v>18</v>
      </c>
      <c r="E12" s="62" t="n">
        <f aca="false">SUM(E7:E11)</f>
        <v>17432</v>
      </c>
      <c r="F12" s="40"/>
      <c r="G12" s="8"/>
      <c r="H12" s="41" t="n">
        <v>22286</v>
      </c>
      <c r="I12" s="42" t="s">
        <v>156</v>
      </c>
      <c r="J12" s="43" t="n">
        <v>1000</v>
      </c>
      <c r="K12" s="44" t="n">
        <f aca="false">SUM(J12*90/100)</f>
        <v>900</v>
      </c>
      <c r="L12" s="45" t="n">
        <v>5</v>
      </c>
      <c r="M12" s="44" t="n">
        <f aca="false">K12-L12</f>
        <v>895</v>
      </c>
      <c r="N12" s="46" t="s">
        <v>112</v>
      </c>
      <c r="O12" s="47" t="s">
        <v>39</v>
      </c>
      <c r="P12" s="12"/>
      <c r="Q12" s="41" t="n">
        <v>23038</v>
      </c>
      <c r="R12" s="42" t="s">
        <v>99</v>
      </c>
      <c r="S12" s="43" t="n">
        <v>2000</v>
      </c>
      <c r="T12" s="48" t="n">
        <f aca="false">SUM(S12*90/100)</f>
        <v>1800</v>
      </c>
      <c r="U12" s="45" t="n">
        <v>5</v>
      </c>
      <c r="V12" s="48" t="n">
        <f aca="false">T12-U12</f>
        <v>1795</v>
      </c>
      <c r="W12" s="46" t="s">
        <v>112</v>
      </c>
      <c r="X12" s="47" t="s">
        <v>39</v>
      </c>
    </row>
    <row r="13" customFormat="false" ht="15.75" hidden="false" customHeight="true" outlineLevel="0" collapsed="false">
      <c r="A13" s="59" t="s">
        <v>157</v>
      </c>
      <c r="B13" s="17" t="n">
        <v>190</v>
      </c>
      <c r="C13" s="63"/>
      <c r="D13" s="18"/>
      <c r="E13" s="17"/>
      <c r="F13" s="40"/>
      <c r="G13" s="8"/>
      <c r="H13" s="41" t="n">
        <v>23330</v>
      </c>
      <c r="I13" s="42" t="s">
        <v>158</v>
      </c>
      <c r="J13" s="43" t="n">
        <v>200</v>
      </c>
      <c r="K13" s="44" t="n">
        <f aca="false">SUM(J13*90/100)</f>
        <v>180</v>
      </c>
      <c r="L13" s="45" t="n">
        <v>5</v>
      </c>
      <c r="M13" s="44" t="n">
        <f aca="false">K13-L13</f>
        <v>175</v>
      </c>
      <c r="N13" s="46" t="s">
        <v>112</v>
      </c>
      <c r="O13" s="47" t="s">
        <v>39</v>
      </c>
      <c r="P13" s="12"/>
      <c r="Q13" s="41" t="n">
        <v>22014</v>
      </c>
      <c r="R13" s="42" t="s">
        <v>159</v>
      </c>
      <c r="S13" s="43" t="n">
        <v>500</v>
      </c>
      <c r="T13" s="48" t="n">
        <f aca="false">SUM(S13*90/100)</f>
        <v>450</v>
      </c>
      <c r="U13" s="45" t="n">
        <v>5</v>
      </c>
      <c r="V13" s="48" t="n">
        <f aca="false">T13-U13</f>
        <v>445</v>
      </c>
      <c r="W13" s="46" t="s">
        <v>112</v>
      </c>
      <c r="X13" s="47" t="s">
        <v>39</v>
      </c>
    </row>
    <row r="14" customFormat="false" ht="15.75" hidden="false" customHeight="true" outlineLevel="0" collapsed="false">
      <c r="A14" s="59" t="s">
        <v>39</v>
      </c>
      <c r="B14" s="17" t="n">
        <v>10</v>
      </c>
      <c r="C14" s="63"/>
      <c r="D14" s="18"/>
      <c r="E14" s="17"/>
      <c r="F14" s="40"/>
      <c r="G14" s="8"/>
      <c r="H14" s="41" t="n">
        <v>24036</v>
      </c>
      <c r="I14" s="42" t="s">
        <v>160</v>
      </c>
      <c r="J14" s="43" t="n">
        <v>1500</v>
      </c>
      <c r="K14" s="44" t="n">
        <f aca="false">SUM(J14*90/100)</f>
        <v>1350</v>
      </c>
      <c r="L14" s="45" t="n">
        <v>50</v>
      </c>
      <c r="M14" s="44" t="n">
        <f aca="false">K14-L14</f>
        <v>1300</v>
      </c>
      <c r="N14" s="46" t="s">
        <v>47</v>
      </c>
      <c r="O14" s="47" t="s">
        <v>51</v>
      </c>
      <c r="P14" s="12"/>
      <c r="Q14" s="41" t="n">
        <v>23383</v>
      </c>
      <c r="R14" s="42" t="s">
        <v>161</v>
      </c>
      <c r="S14" s="43" t="n">
        <v>470</v>
      </c>
      <c r="T14" s="48" t="n">
        <f aca="false">SUM(S14*90/100)</f>
        <v>423</v>
      </c>
      <c r="U14" s="45" t="n">
        <v>5</v>
      </c>
      <c r="V14" s="48" t="n">
        <f aca="false">T14-U14</f>
        <v>418</v>
      </c>
      <c r="W14" s="46" t="s">
        <v>112</v>
      </c>
      <c r="X14" s="47" t="s">
        <v>39</v>
      </c>
    </row>
    <row r="15" customFormat="false" ht="15.75" hidden="false" customHeight="true" outlineLevel="0" collapsed="false">
      <c r="A15" s="59" t="s">
        <v>39</v>
      </c>
      <c r="B15" s="17" t="n">
        <v>50000</v>
      </c>
      <c r="C15" s="63"/>
      <c r="D15" s="18"/>
      <c r="E15" s="17"/>
      <c r="F15" s="40"/>
      <c r="G15" s="8"/>
      <c r="H15" s="41" t="n">
        <v>23383</v>
      </c>
      <c r="I15" s="42" t="s">
        <v>161</v>
      </c>
      <c r="J15" s="43" t="n">
        <v>200</v>
      </c>
      <c r="K15" s="44" t="n">
        <f aca="false">SUM(J15*90/100)</f>
        <v>180</v>
      </c>
      <c r="L15" s="45" t="n">
        <v>5</v>
      </c>
      <c r="M15" s="44" t="n">
        <f aca="false">K15-L15</f>
        <v>175</v>
      </c>
      <c r="N15" s="46" t="s">
        <v>47</v>
      </c>
      <c r="O15" s="47" t="s">
        <v>51</v>
      </c>
      <c r="P15" s="12"/>
      <c r="Q15" s="41" t="n">
        <v>23120</v>
      </c>
      <c r="R15" s="42" t="s">
        <v>162</v>
      </c>
      <c r="S15" s="43" t="n">
        <v>700</v>
      </c>
      <c r="T15" s="48" t="n">
        <f aca="false">SUM(S15*90/100)</f>
        <v>630</v>
      </c>
      <c r="U15" s="45" t="n">
        <v>5</v>
      </c>
      <c r="V15" s="48" t="n">
        <f aca="false">T15-U15</f>
        <v>625</v>
      </c>
      <c r="W15" s="46" t="s">
        <v>112</v>
      </c>
      <c r="X15" s="47" t="s">
        <v>39</v>
      </c>
    </row>
    <row r="16" customFormat="false" ht="15.75" hidden="false" customHeight="true" outlineLevel="0" collapsed="false">
      <c r="A16" s="59"/>
      <c r="B16" s="17"/>
      <c r="C16" s="63"/>
      <c r="D16" s="18"/>
      <c r="E16" s="17"/>
      <c r="F16" s="40"/>
      <c r="G16" s="8"/>
      <c r="H16" s="41" t="n">
        <v>22303</v>
      </c>
      <c r="I16" s="42" t="s">
        <v>163</v>
      </c>
      <c r="J16" s="43" t="n">
        <v>100</v>
      </c>
      <c r="K16" s="44" t="n">
        <f aca="false">SUM(J16*90/100)</f>
        <v>90</v>
      </c>
      <c r="L16" s="45" t="n">
        <v>5</v>
      </c>
      <c r="M16" s="44" t="n">
        <f aca="false">K16-L16</f>
        <v>85</v>
      </c>
      <c r="N16" s="46" t="s">
        <v>43</v>
      </c>
      <c r="O16" s="47" t="s">
        <v>96</v>
      </c>
      <c r="P16" s="12"/>
      <c r="Q16" s="41" t="n">
        <v>22385</v>
      </c>
      <c r="R16" s="42" t="s">
        <v>164</v>
      </c>
      <c r="S16" s="43" t="n">
        <v>200</v>
      </c>
      <c r="T16" s="48" t="n">
        <f aca="false">SUM(S16*90/100)</f>
        <v>180</v>
      </c>
      <c r="U16" s="45" t="n">
        <v>5</v>
      </c>
      <c r="V16" s="48" t="n">
        <f aca="false">T16-U16</f>
        <v>175</v>
      </c>
      <c r="W16" s="46" t="s">
        <v>112</v>
      </c>
      <c r="X16" s="47" t="s">
        <v>39</v>
      </c>
    </row>
    <row r="17" customFormat="false" ht="15.75" hidden="false" customHeight="true" outlineLevel="0" collapsed="false">
      <c r="A17" s="59" t="s">
        <v>165</v>
      </c>
      <c r="B17" s="17" t="n">
        <v>493</v>
      </c>
      <c r="C17" s="63"/>
      <c r="D17" s="18"/>
      <c r="E17" s="17"/>
      <c r="F17" s="40"/>
      <c r="G17" s="8"/>
      <c r="H17" s="41" t="s">
        <v>166</v>
      </c>
      <c r="I17" s="42" t="s">
        <v>167</v>
      </c>
      <c r="J17" s="43" t="n">
        <v>500</v>
      </c>
      <c r="K17" s="44" t="n">
        <f aca="false">SUM(J17*90/100)</f>
        <v>450</v>
      </c>
      <c r="L17" s="45" t="n">
        <v>5</v>
      </c>
      <c r="M17" s="44" t="n">
        <f aca="false">K17-L17</f>
        <v>445</v>
      </c>
      <c r="N17" s="46" t="s">
        <v>47</v>
      </c>
      <c r="O17" s="47" t="s">
        <v>48</v>
      </c>
      <c r="P17" s="12"/>
      <c r="Q17" s="41" t="n">
        <v>23258</v>
      </c>
      <c r="R17" s="42" t="s">
        <v>168</v>
      </c>
      <c r="S17" s="43" t="n">
        <v>4000</v>
      </c>
      <c r="T17" s="48" t="n">
        <f aca="false">SUM(S17*90/100)</f>
        <v>3600</v>
      </c>
      <c r="U17" s="45" t="n">
        <v>5</v>
      </c>
      <c r="V17" s="48" t="n">
        <f aca="false">T17-U17</f>
        <v>3595</v>
      </c>
      <c r="W17" s="46" t="s">
        <v>112</v>
      </c>
      <c r="X17" s="47" t="s">
        <v>39</v>
      </c>
    </row>
    <row r="18" customFormat="false" ht="15.75" hidden="false" customHeight="true" outlineLevel="0" collapsed="false">
      <c r="A18" s="59" t="s">
        <v>165</v>
      </c>
      <c r="B18" s="17" t="n">
        <v>287</v>
      </c>
      <c r="C18" s="63"/>
      <c r="D18" s="18"/>
      <c r="E18" s="17"/>
      <c r="F18" s="40"/>
      <c r="G18" s="8"/>
      <c r="H18" s="41"/>
      <c r="I18" s="42"/>
      <c r="J18" s="43"/>
      <c r="K18" s="44" t="n">
        <f aca="false">SUM(J18*90/100)</f>
        <v>0</v>
      </c>
      <c r="L18" s="45"/>
      <c r="M18" s="44" t="n">
        <f aca="false">K18-L18</f>
        <v>0</v>
      </c>
      <c r="N18" s="46"/>
      <c r="O18" s="47"/>
      <c r="P18" s="12"/>
      <c r="Q18" s="41" t="n">
        <v>23167</v>
      </c>
      <c r="R18" s="42" t="s">
        <v>169</v>
      </c>
      <c r="S18" s="43" t="n">
        <v>500</v>
      </c>
      <c r="T18" s="48" t="n">
        <f aca="false">SUM(S18*90/100)</f>
        <v>450</v>
      </c>
      <c r="U18" s="45" t="n">
        <v>5</v>
      </c>
      <c r="V18" s="48" t="n">
        <f aca="false">T18-U18</f>
        <v>445</v>
      </c>
      <c r="W18" s="46" t="s">
        <v>112</v>
      </c>
      <c r="X18" s="47" t="s">
        <v>39</v>
      </c>
    </row>
    <row r="19" customFormat="false" ht="15.75" hidden="false" customHeight="true" outlineLevel="0" collapsed="false">
      <c r="A19" s="59"/>
      <c r="B19" s="17"/>
      <c r="C19" s="63"/>
      <c r="D19" s="18"/>
      <c r="E19" s="17"/>
      <c r="F19" s="40"/>
      <c r="G19" s="8"/>
      <c r="H19" s="41"/>
      <c r="I19" s="42"/>
      <c r="J19" s="43"/>
      <c r="K19" s="44" t="n">
        <f aca="false">SUM(J19*90/100)</f>
        <v>0</v>
      </c>
      <c r="L19" s="45"/>
      <c r="M19" s="44" t="n">
        <f aca="false">K19-L19</f>
        <v>0</v>
      </c>
      <c r="N19" s="46"/>
      <c r="O19" s="47"/>
      <c r="P19" s="12"/>
      <c r="Q19" s="41" t="s">
        <v>170</v>
      </c>
      <c r="R19" s="42" t="s">
        <v>101</v>
      </c>
      <c r="S19" s="43" t="n">
        <v>500</v>
      </c>
      <c r="T19" s="48" t="n">
        <f aca="false">SUM(S19*90/100)</f>
        <v>450</v>
      </c>
      <c r="U19" s="45" t="n">
        <v>5</v>
      </c>
      <c r="V19" s="48" t="n">
        <f aca="false">T19-U19</f>
        <v>445</v>
      </c>
      <c r="W19" s="46" t="s">
        <v>112</v>
      </c>
      <c r="X19" s="47" t="s">
        <v>39</v>
      </c>
    </row>
    <row r="20" customFormat="false" ht="15.75" hidden="false" customHeight="true" outlineLevel="0" collapsed="false">
      <c r="A20" s="59"/>
      <c r="B20" s="17"/>
      <c r="C20" s="63"/>
      <c r="D20" s="18"/>
      <c r="E20" s="17"/>
      <c r="F20" s="40"/>
      <c r="G20" s="8"/>
      <c r="H20" s="41"/>
      <c r="I20" s="42"/>
      <c r="J20" s="43"/>
      <c r="K20" s="44" t="n">
        <f aca="false">SUM(J20*90/100)</f>
        <v>0</v>
      </c>
      <c r="L20" s="45"/>
      <c r="M20" s="44" t="n">
        <f aca="false">K20-L20</f>
        <v>0</v>
      </c>
      <c r="N20" s="46"/>
      <c r="O20" s="47"/>
      <c r="P20" s="12"/>
      <c r="Q20" s="41" t="s">
        <v>171</v>
      </c>
      <c r="R20" s="42" t="s">
        <v>172</v>
      </c>
      <c r="S20" s="43" t="n">
        <v>120</v>
      </c>
      <c r="T20" s="48" t="n">
        <f aca="false">SUM(S20*90/100)</f>
        <v>108</v>
      </c>
      <c r="U20" s="45" t="n">
        <v>5</v>
      </c>
      <c r="V20" s="48" t="n">
        <f aca="false">T20-U20</f>
        <v>103</v>
      </c>
      <c r="W20" s="46" t="s">
        <v>47</v>
      </c>
      <c r="X20" s="47" t="s">
        <v>73</v>
      </c>
    </row>
    <row r="21" customFormat="false" ht="15.75" hidden="false" customHeight="true" outlineLevel="0" collapsed="false">
      <c r="A21" s="64" t="s">
        <v>21</v>
      </c>
      <c r="B21" s="65" t="n">
        <f aca="false">SUM(B9:B20)</f>
        <v>62138.7</v>
      </c>
      <c r="C21" s="66"/>
      <c r="D21" s="67" t="s">
        <v>22</v>
      </c>
      <c r="E21" s="68" t="n">
        <f aca="false">F4+F7+E12</f>
        <v>153159</v>
      </c>
      <c r="F21" s="69"/>
      <c r="G21" s="8"/>
      <c r="H21" s="70"/>
      <c r="I21" s="71"/>
      <c r="J21" s="72" t="n">
        <f aca="false">SUM(J5:J20)</f>
        <v>42900</v>
      </c>
      <c r="K21" s="73" t="n">
        <f aca="false">SUM(K5:K20)</f>
        <v>38610</v>
      </c>
      <c r="L21" s="72" t="n">
        <f aca="false">SUM(L5:L20)</f>
        <v>110</v>
      </c>
      <c r="M21" s="74" t="n">
        <f aca="false">K21-L21</f>
        <v>38500</v>
      </c>
      <c r="N21" s="75"/>
      <c r="O21" s="76"/>
      <c r="P21" s="12"/>
      <c r="Q21" s="70"/>
      <c r="R21" s="75"/>
      <c r="S21" s="72" t="n">
        <f aca="false">SUM(S5:S20)</f>
        <v>17890</v>
      </c>
      <c r="T21" s="77" t="n">
        <f aca="false">SUM(T5:T20)</f>
        <v>16101</v>
      </c>
      <c r="U21" s="72" t="n">
        <f aca="false">SUM(U5:U20)</f>
        <v>170</v>
      </c>
      <c r="V21" s="78" t="n">
        <f aca="false">T21-U21</f>
        <v>15931</v>
      </c>
      <c r="W21" s="75"/>
      <c r="X21" s="76"/>
    </row>
    <row r="22" customFormat="false" ht="15.75" hidden="false" customHeight="true" outlineLevel="0" collapsed="false">
      <c r="A22" s="8"/>
      <c r="B22" s="79"/>
      <c r="C22" s="80"/>
      <c r="D22" s="81"/>
      <c r="E22" s="79"/>
      <c r="F22" s="8"/>
      <c r="G22" s="8"/>
      <c r="H22" s="24"/>
      <c r="I22" s="82"/>
      <c r="J22" s="24"/>
      <c r="K22" s="23"/>
      <c r="L22" s="12"/>
      <c r="M22" s="24"/>
      <c r="N22" s="24"/>
      <c r="O22" s="12"/>
      <c r="P22" s="12"/>
      <c r="Q22" s="83"/>
      <c r="R22" s="83"/>
      <c r="S22" s="83"/>
      <c r="T22" s="83"/>
      <c r="U22" s="83"/>
      <c r="V22" s="83"/>
      <c r="W22" s="83"/>
      <c r="X22" s="83"/>
    </row>
    <row r="23" customFormat="false" ht="15.75" hidden="false" customHeight="true" outlineLevel="0" collapsed="false">
      <c r="A23" s="8"/>
      <c r="B23" s="84" t="s">
        <v>23</v>
      </c>
      <c r="C23" s="84"/>
      <c r="D23" s="84"/>
      <c r="E23" s="79"/>
      <c r="F23" s="8"/>
      <c r="G23" s="8"/>
      <c r="H23" s="9" t="s">
        <v>24</v>
      </c>
      <c r="I23" s="9"/>
      <c r="J23" s="9"/>
      <c r="K23" s="10"/>
      <c r="L23" s="11" t="s">
        <v>5</v>
      </c>
      <c r="M23" s="11"/>
      <c r="N23" s="11"/>
      <c r="O23" s="11"/>
      <c r="P23" s="12"/>
      <c r="Q23" s="13" t="s">
        <v>25</v>
      </c>
      <c r="R23" s="13"/>
      <c r="S23" s="13"/>
      <c r="T23" s="85"/>
      <c r="U23" s="11" t="s">
        <v>5</v>
      </c>
      <c r="V23" s="11"/>
      <c r="W23" s="11"/>
      <c r="X23" s="11"/>
    </row>
    <row r="24" customFormat="false" ht="15.75" hidden="false" customHeight="true" outlineLevel="0" collapsed="false">
      <c r="A24" s="8"/>
      <c r="B24" s="84"/>
      <c r="C24" s="84"/>
      <c r="D24" s="84"/>
      <c r="E24" s="79"/>
      <c r="F24" s="8"/>
      <c r="G24" s="8"/>
      <c r="H24" s="20"/>
      <c r="I24" s="21"/>
      <c r="J24" s="22"/>
      <c r="K24" s="23"/>
      <c r="L24" s="12"/>
      <c r="M24" s="24"/>
      <c r="N24" s="24"/>
      <c r="O24" s="25"/>
      <c r="P24" s="12"/>
      <c r="Q24" s="20"/>
      <c r="R24" s="22"/>
      <c r="S24" s="22"/>
      <c r="T24" s="12"/>
      <c r="U24" s="12"/>
      <c r="V24" s="24"/>
      <c r="W24" s="24"/>
      <c r="X24" s="25"/>
    </row>
    <row r="25" customFormat="false" ht="15.75" hidden="false" customHeight="true" outlineLevel="0" collapsed="false">
      <c r="A25" s="8"/>
      <c r="B25" s="84"/>
      <c r="C25" s="84"/>
      <c r="D25" s="84"/>
      <c r="E25" s="79"/>
      <c r="F25" s="8"/>
      <c r="G25" s="8"/>
      <c r="H25" s="86" t="s">
        <v>9</v>
      </c>
      <c r="I25" s="87" t="s">
        <v>10</v>
      </c>
      <c r="J25" s="33" t="s">
        <v>11</v>
      </c>
      <c r="K25" s="87" t="s">
        <v>12</v>
      </c>
      <c r="L25" s="88" t="s">
        <v>13</v>
      </c>
      <c r="M25" s="88" t="s">
        <v>14</v>
      </c>
      <c r="N25" s="88" t="s">
        <v>15</v>
      </c>
      <c r="O25" s="89" t="s">
        <v>16</v>
      </c>
      <c r="P25" s="12"/>
      <c r="Q25" s="86" t="s">
        <v>9</v>
      </c>
      <c r="R25" s="87" t="s">
        <v>10</v>
      </c>
      <c r="S25" s="33" t="s">
        <v>11</v>
      </c>
      <c r="T25" s="87" t="s">
        <v>12</v>
      </c>
      <c r="U25" s="88" t="s">
        <v>13</v>
      </c>
      <c r="V25" s="88" t="s">
        <v>14</v>
      </c>
      <c r="W25" s="88" t="s">
        <v>15</v>
      </c>
      <c r="X25" s="89" t="s">
        <v>16</v>
      </c>
    </row>
    <row r="26" customFormat="false" ht="15.75" hidden="false" customHeight="true" outlineLevel="0" collapsed="false">
      <c r="A26" s="8"/>
      <c r="B26" s="84"/>
      <c r="C26" s="84"/>
      <c r="D26" s="84"/>
      <c r="E26" s="79"/>
      <c r="F26" s="8"/>
      <c r="G26" s="8"/>
      <c r="H26" s="41" t="n">
        <v>24134</v>
      </c>
      <c r="I26" s="42" t="s">
        <v>173</v>
      </c>
      <c r="J26" s="43" t="n">
        <v>2300</v>
      </c>
      <c r="K26" s="90" t="n">
        <f aca="false">SUM(J26*90/100)</f>
        <v>2070</v>
      </c>
      <c r="L26" s="45" t="n">
        <v>50</v>
      </c>
      <c r="M26" s="44" t="n">
        <f aca="false">K26-L26</f>
        <v>2020</v>
      </c>
      <c r="N26" s="46" t="s">
        <v>50</v>
      </c>
      <c r="O26" s="47" t="s">
        <v>51</v>
      </c>
      <c r="P26" s="12"/>
      <c r="Q26" s="41" t="n">
        <v>24136</v>
      </c>
      <c r="R26" s="42" t="s">
        <v>162</v>
      </c>
      <c r="S26" s="43" t="n">
        <v>3700</v>
      </c>
      <c r="T26" s="48" t="n">
        <f aca="false">S26*90/100</f>
        <v>3330</v>
      </c>
      <c r="U26" s="45" t="n">
        <v>74</v>
      </c>
      <c r="V26" s="48" t="n">
        <f aca="false">T26-U26</f>
        <v>3256</v>
      </c>
      <c r="W26" s="46" t="s">
        <v>112</v>
      </c>
      <c r="X26" s="47" t="s">
        <v>39</v>
      </c>
    </row>
    <row r="27" customFormat="false" ht="15.75" hidden="false" customHeight="true" outlineLevel="0" collapsed="false">
      <c r="A27" s="8"/>
      <c r="B27" s="84"/>
      <c r="C27" s="84"/>
      <c r="D27" s="84"/>
      <c r="E27" s="79"/>
      <c r="F27" s="8"/>
      <c r="G27" s="8"/>
      <c r="H27" s="41" t="n">
        <v>24135</v>
      </c>
      <c r="I27" s="42" t="s">
        <v>174</v>
      </c>
      <c r="J27" s="43" t="n">
        <v>2000</v>
      </c>
      <c r="K27" s="90" t="n">
        <f aca="false">SUM(J27*90/100)</f>
        <v>1800</v>
      </c>
      <c r="L27" s="45" t="n">
        <v>50</v>
      </c>
      <c r="M27" s="44" t="n">
        <f aca="false">K27-L27</f>
        <v>1750</v>
      </c>
      <c r="N27" s="46" t="s">
        <v>50</v>
      </c>
      <c r="O27" s="47" t="s">
        <v>73</v>
      </c>
      <c r="P27" s="12"/>
      <c r="Q27" s="41" t="n">
        <v>24137</v>
      </c>
      <c r="R27" s="42" t="s">
        <v>158</v>
      </c>
      <c r="S27" s="43" t="n">
        <v>4700</v>
      </c>
      <c r="T27" s="48" t="n">
        <f aca="false">S27*90/100</f>
        <v>4230</v>
      </c>
      <c r="U27" s="45" t="n">
        <v>94</v>
      </c>
      <c r="V27" s="48" t="n">
        <f aca="false">T27-U27</f>
        <v>4136</v>
      </c>
      <c r="W27" s="46" t="s">
        <v>112</v>
      </c>
      <c r="X27" s="47" t="s">
        <v>39</v>
      </c>
    </row>
    <row r="28" customFormat="false" ht="15.75" hidden="false" customHeight="true" outlineLevel="0" collapsed="false">
      <c r="A28" s="8"/>
      <c r="B28" s="91" t="n">
        <f aca="false">E21-B7-B21-M21-M36-V21-V36</f>
        <v>14194</v>
      </c>
      <c r="C28" s="91"/>
      <c r="D28" s="91"/>
      <c r="E28" s="79"/>
      <c r="F28" s="8"/>
      <c r="G28" s="8"/>
      <c r="H28" s="41" t="s">
        <v>175</v>
      </c>
      <c r="I28" s="42" t="s">
        <v>176</v>
      </c>
      <c r="J28" s="43" t="n">
        <v>2000</v>
      </c>
      <c r="K28" s="90" t="n">
        <f aca="false">SUM(J28*90/100)</f>
        <v>1800</v>
      </c>
      <c r="L28" s="45" t="n">
        <v>50</v>
      </c>
      <c r="M28" s="44" t="n">
        <f aca="false">K28-L28</f>
        <v>1750</v>
      </c>
      <c r="N28" s="46" t="s">
        <v>50</v>
      </c>
      <c r="O28" s="47" t="s">
        <v>73</v>
      </c>
      <c r="P28" s="12"/>
      <c r="Q28" s="41"/>
      <c r="R28" s="42"/>
      <c r="S28" s="43"/>
      <c r="T28" s="48" t="n">
        <f aca="false">S28*90/100</f>
        <v>0</v>
      </c>
      <c r="U28" s="45"/>
      <c r="V28" s="48" t="n">
        <f aca="false">T28-U28</f>
        <v>0</v>
      </c>
      <c r="W28" s="46"/>
      <c r="X28" s="47"/>
    </row>
    <row r="29" customFormat="false" ht="15.75" hidden="false" customHeight="true" outlineLevel="0" collapsed="false">
      <c r="A29" s="8"/>
      <c r="B29" s="91"/>
      <c r="C29" s="91"/>
      <c r="D29" s="91"/>
      <c r="E29" s="79"/>
      <c r="F29" s="8"/>
      <c r="G29" s="8"/>
      <c r="H29" s="41" t="s">
        <v>177</v>
      </c>
      <c r="I29" s="42" t="s">
        <v>178</v>
      </c>
      <c r="J29" s="43" t="n">
        <v>500</v>
      </c>
      <c r="K29" s="90" t="n">
        <f aca="false">SUM(J29*90/100)</f>
        <v>450</v>
      </c>
      <c r="L29" s="45" t="n">
        <v>24</v>
      </c>
      <c r="M29" s="44" t="n">
        <f aca="false">K29-L29</f>
        <v>426</v>
      </c>
      <c r="N29" s="46" t="s">
        <v>50</v>
      </c>
      <c r="O29" s="47" t="s">
        <v>51</v>
      </c>
      <c r="P29" s="12"/>
      <c r="Q29" s="41"/>
      <c r="R29" s="42"/>
      <c r="S29" s="43"/>
      <c r="T29" s="48" t="n">
        <f aca="false">S29*90/100</f>
        <v>0</v>
      </c>
      <c r="U29" s="45"/>
      <c r="V29" s="48" t="n">
        <f aca="false">T29-U29</f>
        <v>0</v>
      </c>
      <c r="W29" s="46"/>
      <c r="X29" s="47"/>
    </row>
    <row r="30" customFormat="false" ht="15.75" hidden="false" customHeight="true" outlineLevel="0" collapsed="false">
      <c r="A30" s="8"/>
      <c r="B30" s="91"/>
      <c r="C30" s="91"/>
      <c r="D30" s="91"/>
      <c r="E30" s="79"/>
      <c r="F30" s="8"/>
      <c r="G30" s="8"/>
      <c r="H30" s="41"/>
      <c r="I30" s="42"/>
      <c r="J30" s="43"/>
      <c r="K30" s="90" t="n">
        <f aca="false">SUM(J30*90/100)</f>
        <v>0</v>
      </c>
      <c r="L30" s="45"/>
      <c r="M30" s="44" t="n">
        <f aca="false">K30-L30</f>
        <v>0</v>
      </c>
      <c r="N30" s="46"/>
      <c r="O30" s="47"/>
      <c r="P30" s="12"/>
      <c r="Q30" s="41"/>
      <c r="R30" s="42"/>
      <c r="S30" s="43"/>
      <c r="T30" s="48" t="n">
        <f aca="false">S30*90/100</f>
        <v>0</v>
      </c>
      <c r="U30" s="45"/>
      <c r="V30" s="48" t="n">
        <f aca="false">T30-U30</f>
        <v>0</v>
      </c>
      <c r="W30" s="46"/>
      <c r="X30" s="47"/>
    </row>
    <row r="31" customFormat="false" ht="15.75" hidden="false" customHeight="true" outlineLevel="0" collapsed="false">
      <c r="A31" s="8"/>
      <c r="B31" s="91"/>
      <c r="C31" s="91"/>
      <c r="D31" s="91"/>
      <c r="E31" s="79"/>
      <c r="F31" s="8"/>
      <c r="G31" s="8"/>
      <c r="H31" s="41"/>
      <c r="I31" s="42"/>
      <c r="J31" s="43"/>
      <c r="K31" s="90" t="n">
        <f aca="false">SUM(J31*90/100)</f>
        <v>0</v>
      </c>
      <c r="L31" s="45"/>
      <c r="M31" s="44" t="n">
        <f aca="false">K31-L31</f>
        <v>0</v>
      </c>
      <c r="N31" s="46"/>
      <c r="O31" s="47"/>
      <c r="P31" s="12"/>
      <c r="Q31" s="41"/>
      <c r="R31" s="42"/>
      <c r="S31" s="43"/>
      <c r="T31" s="48" t="n">
        <f aca="false">S31*90/100</f>
        <v>0</v>
      </c>
      <c r="U31" s="45"/>
      <c r="V31" s="48" t="n">
        <f aca="false">T31-U31</f>
        <v>0</v>
      </c>
      <c r="W31" s="46"/>
      <c r="X31" s="47"/>
    </row>
    <row r="32" customFormat="false" ht="15.75" hidden="false" customHeight="true" outlineLevel="0" collapsed="false">
      <c r="A32" s="1"/>
      <c r="B32" s="91"/>
      <c r="C32" s="91"/>
      <c r="D32" s="91"/>
      <c r="E32" s="1"/>
      <c r="F32" s="8"/>
      <c r="G32" s="8"/>
      <c r="H32" s="41"/>
      <c r="I32" s="42"/>
      <c r="J32" s="43"/>
      <c r="K32" s="90" t="n">
        <f aca="false">SUM(J32*90/100)</f>
        <v>0</v>
      </c>
      <c r="L32" s="45"/>
      <c r="M32" s="44" t="n">
        <f aca="false">K32-L32</f>
        <v>0</v>
      </c>
      <c r="N32" s="46"/>
      <c r="O32" s="47"/>
      <c r="P32" s="12"/>
      <c r="Q32" s="41"/>
      <c r="R32" s="42"/>
      <c r="S32" s="43"/>
      <c r="T32" s="48" t="n">
        <f aca="false">S32*90/100</f>
        <v>0</v>
      </c>
      <c r="U32" s="45"/>
      <c r="V32" s="48" t="n">
        <f aca="false">T32-U32</f>
        <v>0</v>
      </c>
      <c r="W32" s="46"/>
      <c r="X32" s="47"/>
    </row>
    <row r="33" customFormat="false" ht="15.75" hidden="false" customHeight="true" outlineLevel="0" collapsed="false">
      <c r="A33" s="1"/>
      <c r="B33" s="1"/>
      <c r="C33" s="1"/>
      <c r="D33" s="1"/>
      <c r="E33" s="1"/>
      <c r="F33" s="8"/>
      <c r="G33" s="8"/>
      <c r="H33" s="41"/>
      <c r="I33" s="42"/>
      <c r="J33" s="43"/>
      <c r="K33" s="90" t="n">
        <f aca="false">SUM(J33*90/100)</f>
        <v>0</v>
      </c>
      <c r="L33" s="45"/>
      <c r="M33" s="44" t="n">
        <f aca="false">K33-L33</f>
        <v>0</v>
      </c>
      <c r="N33" s="46"/>
      <c r="O33" s="47"/>
      <c r="P33" s="12"/>
      <c r="Q33" s="41"/>
      <c r="R33" s="42"/>
      <c r="S33" s="43"/>
      <c r="T33" s="48" t="n">
        <f aca="false">S33*90/100</f>
        <v>0</v>
      </c>
      <c r="U33" s="45"/>
      <c r="V33" s="48" t="n">
        <f aca="false">T33-U33</f>
        <v>0</v>
      </c>
      <c r="W33" s="46"/>
      <c r="X33" s="47"/>
    </row>
    <row r="34" customFormat="false" ht="14.25" hidden="false" customHeight="true" outlineLevel="0" collapsed="false">
      <c r="A34" s="92" t="s">
        <v>27</v>
      </c>
      <c r="B34" s="92"/>
      <c r="C34" s="92"/>
      <c r="D34" s="1"/>
      <c r="E34" s="1"/>
      <c r="F34" s="8"/>
      <c r="G34" s="8"/>
      <c r="H34" s="41"/>
      <c r="I34" s="42"/>
      <c r="J34" s="43"/>
      <c r="K34" s="90" t="n">
        <f aca="false">SUM(J34*90/100)</f>
        <v>0</v>
      </c>
      <c r="L34" s="45"/>
      <c r="M34" s="44" t="n">
        <f aca="false">K34-L34</f>
        <v>0</v>
      </c>
      <c r="N34" s="46"/>
      <c r="O34" s="47"/>
      <c r="P34" s="12"/>
      <c r="Q34" s="41"/>
      <c r="R34" s="42"/>
      <c r="S34" s="43"/>
      <c r="T34" s="48" t="n">
        <f aca="false">S34*90/100</f>
        <v>0</v>
      </c>
      <c r="U34" s="45"/>
      <c r="V34" s="48" t="n">
        <f aca="false">T34-U34</f>
        <v>0</v>
      </c>
      <c r="W34" s="46"/>
      <c r="X34" s="47"/>
    </row>
    <row r="35" customFormat="false" ht="18" hidden="false" customHeight="true" outlineLevel="0" collapsed="false">
      <c r="A35" s="93"/>
      <c r="B35" s="93"/>
      <c r="C35" s="93"/>
      <c r="D35" s="1"/>
      <c r="E35" s="1"/>
      <c r="F35" s="8"/>
      <c r="G35" s="8"/>
      <c r="H35" s="41"/>
      <c r="I35" s="42"/>
      <c r="J35" s="43"/>
      <c r="K35" s="90" t="n">
        <f aca="false">SUM(J35*90/100)</f>
        <v>0</v>
      </c>
      <c r="L35" s="45"/>
      <c r="M35" s="44" t="n">
        <f aca="false">K35-L35</f>
        <v>0</v>
      </c>
      <c r="N35" s="46"/>
      <c r="O35" s="47"/>
      <c r="P35" s="12"/>
      <c r="Q35" s="41"/>
      <c r="R35" s="42"/>
      <c r="S35" s="43"/>
      <c r="T35" s="48" t="n">
        <f aca="false">S35*90/100</f>
        <v>0</v>
      </c>
      <c r="U35" s="45"/>
      <c r="V35" s="48" t="n">
        <f aca="false">T35-U35</f>
        <v>0</v>
      </c>
      <c r="W35" s="46"/>
      <c r="X35" s="47"/>
    </row>
    <row r="36" customFormat="false" ht="24" hidden="false" customHeight="true" outlineLevel="0" collapsed="false">
      <c r="A36" s="92" t="s">
        <v>28</v>
      </c>
      <c r="B36" s="92"/>
      <c r="C36" s="94" t="n">
        <v>5481</v>
      </c>
      <c r="D36" s="1"/>
      <c r="E36" s="1"/>
      <c r="F36" s="8"/>
      <c r="G36" s="8"/>
      <c r="H36" s="70"/>
      <c r="I36" s="71"/>
      <c r="J36" s="72" t="n">
        <f aca="false">SUM(J26:J35)</f>
        <v>6800</v>
      </c>
      <c r="K36" s="95" t="n">
        <f aca="false">SUM(J36*90/100)</f>
        <v>6120</v>
      </c>
      <c r="L36" s="72" t="n">
        <f aca="false">SUM(L26:L35)</f>
        <v>174</v>
      </c>
      <c r="M36" s="74" t="n">
        <f aca="false">K36-L36</f>
        <v>5946</v>
      </c>
      <c r="N36" s="75"/>
      <c r="O36" s="76"/>
      <c r="P36" s="12"/>
      <c r="Q36" s="70"/>
      <c r="R36" s="75"/>
      <c r="S36" s="72" t="n">
        <f aca="false">SUM(S26:S35)</f>
        <v>8400</v>
      </c>
      <c r="T36" s="77" t="n">
        <f aca="false">SUM(T26:T35)</f>
        <v>7560</v>
      </c>
      <c r="U36" s="72" t="n">
        <f aca="false">SUM(U26:U35)</f>
        <v>168</v>
      </c>
      <c r="V36" s="78" t="n">
        <f aca="false">T36-U36</f>
        <v>7392</v>
      </c>
      <c r="W36" s="75"/>
      <c r="X36" s="76"/>
    </row>
    <row r="37" customFormat="false" ht="7.5" hidden="false" customHeight="true" outlineLevel="0" collapsed="false">
      <c r="A37" s="1"/>
      <c r="B37" s="1"/>
      <c r="C37" s="8"/>
      <c r="D37" s="1"/>
      <c r="E37" s="1"/>
      <c r="F37" s="8"/>
      <c r="G37" s="8"/>
      <c r="H37" s="79"/>
      <c r="I37" s="96"/>
      <c r="J37" s="79"/>
      <c r="K37" s="97"/>
      <c r="L37" s="8"/>
      <c r="M37" s="79"/>
      <c r="N37" s="79"/>
      <c r="O37" s="8"/>
      <c r="P37" s="8"/>
      <c r="Q37" s="1"/>
      <c r="R37" s="1"/>
      <c r="S37" s="1"/>
      <c r="T37" s="1"/>
      <c r="U37" s="1"/>
      <c r="V37" s="1"/>
      <c r="W37" s="1"/>
      <c r="X37" s="1"/>
    </row>
    <row r="38" customFormat="false" ht="1.5" hidden="false" customHeight="true" outlineLevel="0" collapsed="false">
      <c r="A38" s="1"/>
      <c r="B38" s="1"/>
      <c r="C38" s="8"/>
      <c r="D38" s="1"/>
      <c r="E38" s="1"/>
      <c r="F38" s="8"/>
      <c r="G38" s="8"/>
      <c r="H38" s="79"/>
      <c r="I38" s="96"/>
      <c r="J38" s="79"/>
      <c r="K38" s="97"/>
      <c r="L38" s="8"/>
      <c r="M38" s="79"/>
      <c r="N38" s="79"/>
      <c r="O38" s="8"/>
      <c r="P38" s="8"/>
      <c r="Q38" s="1"/>
      <c r="R38" s="1"/>
      <c r="S38" s="1"/>
      <c r="T38" s="93"/>
      <c r="U38" s="93"/>
      <c r="V38" s="1"/>
      <c r="W38" s="1"/>
      <c r="X38" s="1"/>
    </row>
    <row r="39" customFormat="false" ht="24" hidden="false" customHeight="true" outlineLevel="0" collapsed="false">
      <c r="A39" s="98" t="s">
        <v>29</v>
      </c>
      <c r="B39" s="98"/>
      <c r="C39" s="99" t="n">
        <f aca="false">SUM(C36+D59-E59+G59-H59+K59-L59)</f>
        <v>9057.3</v>
      </c>
      <c r="D39" s="100" t="s">
        <v>30</v>
      </c>
      <c r="E39" s="101" t="s">
        <v>31</v>
      </c>
      <c r="F39" s="102" t="s">
        <v>32</v>
      </c>
      <c r="G39" s="101" t="s">
        <v>30</v>
      </c>
      <c r="H39" s="101" t="s">
        <v>33</v>
      </c>
      <c r="I39" s="103" t="s">
        <v>32</v>
      </c>
      <c r="J39" s="104"/>
      <c r="K39" s="101" t="s">
        <v>30</v>
      </c>
      <c r="L39" s="101" t="s">
        <v>33</v>
      </c>
      <c r="M39" s="105" t="s">
        <v>32</v>
      </c>
      <c r="N39" s="106"/>
      <c r="O39" s="1"/>
      <c r="P39" s="8"/>
      <c r="Q39" s="1"/>
      <c r="R39" s="1"/>
      <c r="S39" s="93"/>
      <c r="T39" s="93"/>
      <c r="U39" s="93"/>
      <c r="V39" s="1"/>
      <c r="W39" s="1"/>
      <c r="X39" s="1"/>
    </row>
    <row r="40" customFormat="false" ht="15.75" hidden="false" customHeight="true" outlineLevel="0" collapsed="false">
      <c r="A40" s="98"/>
      <c r="B40" s="98"/>
      <c r="C40" s="99"/>
      <c r="D40" s="101"/>
      <c r="E40" s="101" t="n">
        <v>300</v>
      </c>
      <c r="F40" s="107" t="s">
        <v>130</v>
      </c>
      <c r="G40" s="101"/>
      <c r="H40" s="108" t="n">
        <v>4624</v>
      </c>
      <c r="I40" s="100" t="s">
        <v>179</v>
      </c>
      <c r="J40" s="109"/>
      <c r="K40" s="110"/>
      <c r="L40" s="101"/>
      <c r="M40" s="100"/>
      <c r="N40" s="100"/>
      <c r="O40" s="1"/>
      <c r="P40" s="8"/>
      <c r="Q40" s="1"/>
      <c r="R40" s="1"/>
      <c r="S40" s="93"/>
      <c r="T40" s="93"/>
      <c r="U40" s="1"/>
      <c r="V40" s="1"/>
      <c r="W40" s="1"/>
      <c r="X40" s="1"/>
    </row>
    <row r="41" customFormat="false" ht="15.75" hidden="false" customHeight="true" outlineLevel="0" collapsed="false">
      <c r="A41" s="98"/>
      <c r="B41" s="98"/>
      <c r="C41" s="99"/>
      <c r="D41" s="101" t="n">
        <v>18</v>
      </c>
      <c r="E41" s="101"/>
      <c r="F41" s="107" t="s">
        <v>180</v>
      </c>
      <c r="G41" s="101"/>
      <c r="H41" s="108" t="n">
        <v>350</v>
      </c>
      <c r="I41" s="100" t="s">
        <v>181</v>
      </c>
      <c r="J41" s="109"/>
      <c r="K41" s="110"/>
      <c r="L41" s="101"/>
      <c r="M41" s="100"/>
      <c r="N41" s="100"/>
      <c r="O41" s="1"/>
      <c r="P41" s="8"/>
      <c r="Q41" s="1"/>
      <c r="R41" s="1"/>
      <c r="S41" s="1"/>
      <c r="T41" s="1"/>
      <c r="U41" s="1"/>
      <c r="V41" s="1"/>
      <c r="W41" s="1"/>
      <c r="X41" s="1"/>
    </row>
    <row r="42" customFormat="false" ht="15.75" hidden="false" customHeight="true" outlineLevel="0" collapsed="false">
      <c r="A42" s="98"/>
      <c r="B42" s="98"/>
      <c r="C42" s="99"/>
      <c r="D42" s="101"/>
      <c r="E42" s="101" t="n">
        <v>98</v>
      </c>
      <c r="F42" s="107" t="s">
        <v>153</v>
      </c>
      <c r="G42" s="101" t="n">
        <v>150</v>
      </c>
      <c r="H42" s="108"/>
      <c r="I42" s="100" t="s">
        <v>182</v>
      </c>
      <c r="J42" s="109"/>
      <c r="K42" s="110"/>
      <c r="L42" s="101"/>
      <c r="M42" s="100"/>
      <c r="N42" s="100"/>
      <c r="O42" s="1"/>
      <c r="P42" s="8"/>
      <c r="Q42" s="1"/>
      <c r="R42" s="1"/>
      <c r="S42" s="111" t="s">
        <v>34</v>
      </c>
      <c r="T42" s="111" t="s">
        <v>35</v>
      </c>
      <c r="U42" s="112" t="n">
        <f aca="false">SUM(L21+U21+L36+U36)</f>
        <v>622</v>
      </c>
      <c r="V42" s="111"/>
      <c r="W42" s="111"/>
      <c r="X42" s="111"/>
    </row>
    <row r="43" customFormat="false" ht="15.75" hidden="false" customHeight="true" outlineLevel="0" collapsed="false">
      <c r="A43" s="98"/>
      <c r="B43" s="98"/>
      <c r="C43" s="99"/>
      <c r="D43" s="101"/>
      <c r="E43" s="101" t="n">
        <v>1400.7</v>
      </c>
      <c r="F43" s="107" t="s">
        <v>39</v>
      </c>
      <c r="G43" s="101" t="n">
        <v>100</v>
      </c>
      <c r="H43" s="108"/>
      <c r="I43" s="100" t="s">
        <v>183</v>
      </c>
      <c r="J43" s="109"/>
      <c r="K43" s="110"/>
      <c r="L43" s="101"/>
      <c r="M43" s="100"/>
      <c r="N43" s="100"/>
      <c r="O43" s="1"/>
      <c r="P43" s="8"/>
      <c r="Q43" s="1"/>
      <c r="R43" s="1"/>
      <c r="S43" s="111" t="s">
        <v>36</v>
      </c>
      <c r="T43" s="111" t="s">
        <v>35</v>
      </c>
      <c r="U43" s="111"/>
      <c r="V43" s="111"/>
      <c r="W43" s="111"/>
      <c r="X43" s="111"/>
    </row>
    <row r="44" customFormat="false" ht="15.75" hidden="false" customHeight="true" outlineLevel="0" collapsed="false">
      <c r="A44" s="98"/>
      <c r="B44" s="98"/>
      <c r="C44" s="99"/>
      <c r="D44" s="101" t="n">
        <v>500</v>
      </c>
      <c r="E44" s="101"/>
      <c r="F44" s="107" t="s">
        <v>184</v>
      </c>
      <c r="G44" s="101"/>
      <c r="H44" s="108" t="n">
        <v>829</v>
      </c>
      <c r="I44" s="100" t="s">
        <v>185</v>
      </c>
      <c r="J44" s="109"/>
      <c r="K44" s="110"/>
      <c r="M44" s="100"/>
      <c r="N44" s="100"/>
      <c r="O44" s="1"/>
      <c r="P44" s="8"/>
      <c r="Q44" s="1"/>
      <c r="R44" s="1"/>
      <c r="S44" s="111"/>
      <c r="T44" s="111"/>
      <c r="U44" s="111"/>
      <c r="V44" s="111"/>
      <c r="W44" s="111"/>
      <c r="X44" s="111"/>
    </row>
    <row r="45" customFormat="false" ht="15.75" hidden="false" customHeight="true" outlineLevel="0" collapsed="false">
      <c r="A45" s="98"/>
      <c r="B45" s="98"/>
      <c r="C45" s="99"/>
      <c r="D45" s="101"/>
      <c r="E45" s="101" t="n">
        <v>20</v>
      </c>
      <c r="F45" s="107" t="s">
        <v>186</v>
      </c>
      <c r="G45" s="101" t="n">
        <v>2000</v>
      </c>
      <c r="H45" s="108"/>
      <c r="I45" s="113" t="s">
        <v>187</v>
      </c>
      <c r="J45" s="114"/>
      <c r="K45" s="110"/>
      <c r="L45" s="101"/>
      <c r="M45" s="100"/>
      <c r="N45" s="100"/>
      <c r="O45" s="1"/>
      <c r="P45" s="8"/>
      <c r="Q45" s="1"/>
      <c r="R45" s="1"/>
      <c r="S45" s="111"/>
      <c r="T45" s="111"/>
      <c r="U45" s="111"/>
      <c r="V45" s="111"/>
      <c r="W45" s="111"/>
      <c r="X45" s="111"/>
    </row>
    <row r="46" customFormat="false" ht="15.75" hidden="false" customHeight="true" outlineLevel="0" collapsed="false">
      <c r="A46" s="98"/>
      <c r="B46" s="98"/>
      <c r="C46" s="99"/>
      <c r="D46" s="101"/>
      <c r="E46" s="101" t="n">
        <v>850</v>
      </c>
      <c r="F46" s="107" t="s">
        <v>147</v>
      </c>
      <c r="G46" s="101"/>
      <c r="H46" s="108" t="n">
        <v>830</v>
      </c>
      <c r="I46" s="100" t="s">
        <v>188</v>
      </c>
      <c r="J46" s="109"/>
      <c r="K46" s="110"/>
      <c r="L46" s="101"/>
      <c r="M46" s="100"/>
      <c r="N46" s="100"/>
      <c r="O46" s="1"/>
      <c r="P46" s="8"/>
      <c r="Q46" s="1"/>
      <c r="R46" s="1"/>
      <c r="S46" s="111"/>
      <c r="T46" s="111"/>
      <c r="U46" s="111"/>
      <c r="V46" s="111"/>
      <c r="W46" s="111"/>
      <c r="X46" s="111"/>
    </row>
    <row r="47" customFormat="false" ht="15.75" hidden="false" customHeight="true" outlineLevel="0" collapsed="false">
      <c r="A47" s="98"/>
      <c r="B47" s="98"/>
      <c r="C47" s="99"/>
      <c r="D47" s="101"/>
      <c r="E47" s="101" t="n">
        <v>85</v>
      </c>
      <c r="F47" s="107" t="s">
        <v>46</v>
      </c>
      <c r="G47" s="101" t="n">
        <v>1390</v>
      </c>
      <c r="H47" s="108"/>
      <c r="I47" s="100" t="s">
        <v>189</v>
      </c>
      <c r="J47" s="109"/>
      <c r="K47" s="110"/>
      <c r="L47" s="101"/>
      <c r="M47" s="115"/>
      <c r="N47" s="115"/>
      <c r="O47" s="1"/>
      <c r="P47" s="8"/>
      <c r="Q47" s="1"/>
      <c r="R47" s="1"/>
      <c r="S47" s="111" t="s">
        <v>37</v>
      </c>
      <c r="T47" s="111"/>
      <c r="U47" s="111"/>
      <c r="V47" s="111"/>
      <c r="W47" s="111" t="s">
        <v>38</v>
      </c>
      <c r="X47" s="111"/>
    </row>
    <row r="48" customFormat="false" ht="22.5" hidden="false" customHeight="true" outlineLevel="0" collapsed="false">
      <c r="A48" s="98"/>
      <c r="B48" s="98"/>
      <c r="C48" s="99"/>
      <c r="D48" s="101" t="n">
        <v>700</v>
      </c>
      <c r="E48" s="101"/>
      <c r="F48" s="107" t="s">
        <v>190</v>
      </c>
      <c r="G48" s="101"/>
      <c r="H48" s="108" t="n">
        <v>175</v>
      </c>
      <c r="I48" s="116" t="s">
        <v>161</v>
      </c>
      <c r="J48" s="114"/>
      <c r="K48" s="110"/>
      <c r="L48" s="108"/>
      <c r="M48" s="100"/>
      <c r="N48" s="100"/>
      <c r="O48" s="1"/>
      <c r="P48" s="8"/>
      <c r="Q48" s="1"/>
      <c r="R48" s="1"/>
      <c r="S48" s="1"/>
      <c r="T48" s="1"/>
      <c r="U48" s="18" t="s">
        <v>39</v>
      </c>
      <c r="V48" s="93"/>
      <c r="W48" s="93"/>
      <c r="X48" s="1"/>
    </row>
    <row r="49" customFormat="false" ht="15.75" hidden="false" customHeight="true" outlineLevel="0" collapsed="false">
      <c r="A49" s="98"/>
      <c r="B49" s="98"/>
      <c r="C49" s="99"/>
      <c r="D49" s="140" t="n">
        <v>8700</v>
      </c>
      <c r="E49" s="101"/>
      <c r="F49" s="117" t="s">
        <v>187</v>
      </c>
      <c r="G49" s="101"/>
      <c r="H49" s="108" t="n">
        <v>1300</v>
      </c>
      <c r="I49" s="100" t="s">
        <v>160</v>
      </c>
      <c r="J49" s="100"/>
      <c r="K49" s="110"/>
      <c r="L49" s="108"/>
      <c r="M49" s="100"/>
      <c r="N49" s="100"/>
      <c r="O49" s="1"/>
      <c r="P49" s="8"/>
      <c r="Q49" s="1"/>
      <c r="R49" s="1"/>
      <c r="S49" s="1"/>
      <c r="T49" s="1"/>
      <c r="U49" s="93"/>
      <c r="V49" s="93"/>
      <c r="W49" s="93"/>
      <c r="X49" s="1"/>
    </row>
    <row r="50" customFormat="false" ht="16.5" hidden="false" customHeight="true" outlineLevel="0" collapsed="false">
      <c r="A50" s="98"/>
      <c r="B50" s="98"/>
      <c r="C50" s="99"/>
      <c r="D50" s="140" t="n">
        <v>1090</v>
      </c>
      <c r="E50" s="101"/>
      <c r="F50" s="117" t="n">
        <v>259</v>
      </c>
      <c r="G50" s="101" t="n">
        <v>70</v>
      </c>
      <c r="H50" s="108"/>
      <c r="I50" s="100" t="s">
        <v>191</v>
      </c>
      <c r="J50" s="100"/>
      <c r="K50" s="110"/>
      <c r="L50" s="101"/>
      <c r="M50" s="113"/>
      <c r="N50" s="113"/>
      <c r="O50" s="1"/>
      <c r="P50" s="8"/>
      <c r="Q50" s="1"/>
      <c r="R50" s="1"/>
      <c r="S50" s="1"/>
      <c r="T50" s="1"/>
      <c r="U50" s="93" t="s">
        <v>40</v>
      </c>
      <c r="V50" s="93"/>
      <c r="W50" s="93"/>
      <c r="X50" s="1"/>
    </row>
    <row r="51" customFormat="false" ht="22.5" hidden="false" customHeight="true" outlineLevel="0" collapsed="false">
      <c r="A51" s="98"/>
      <c r="B51" s="98"/>
      <c r="C51" s="99"/>
      <c r="D51" s="101"/>
      <c r="E51" s="140" t="n">
        <v>240</v>
      </c>
      <c r="F51" s="117" t="n">
        <v>259</v>
      </c>
      <c r="G51" s="101"/>
      <c r="H51" s="108" t="n">
        <v>85</v>
      </c>
      <c r="I51" s="118" t="s">
        <v>163</v>
      </c>
      <c r="J51" s="119"/>
      <c r="K51" s="110"/>
      <c r="L51" s="101"/>
      <c r="M51" s="118"/>
      <c r="N51" s="120"/>
      <c r="O51" s="1"/>
      <c r="P51" s="8"/>
      <c r="Q51" s="1"/>
      <c r="R51" s="1"/>
      <c r="S51" s="1"/>
      <c r="T51" s="1"/>
      <c r="U51" s="1"/>
      <c r="V51" s="1"/>
      <c r="W51" s="1"/>
      <c r="X51" s="1"/>
    </row>
    <row r="52" customFormat="false" ht="15.75" hidden="false" customHeight="true" outlineLevel="0" collapsed="false">
      <c r="A52" s="98"/>
      <c r="B52" s="98"/>
      <c r="C52" s="99"/>
      <c r="D52" s="140" t="n">
        <v>340</v>
      </c>
      <c r="E52" s="101"/>
      <c r="F52" s="117" t="n">
        <v>152</v>
      </c>
      <c r="G52" s="101"/>
      <c r="H52" s="108" t="n">
        <v>445</v>
      </c>
      <c r="I52" s="113" t="s">
        <v>167</v>
      </c>
      <c r="J52" s="121"/>
      <c r="K52" s="110"/>
      <c r="L52" s="101"/>
      <c r="M52" s="118"/>
      <c r="N52" s="120"/>
      <c r="O52" s="1"/>
      <c r="P52" s="8"/>
      <c r="Q52" s="1"/>
      <c r="R52" s="1"/>
      <c r="S52" s="1"/>
      <c r="T52" s="1"/>
      <c r="U52" s="1"/>
      <c r="V52" s="1"/>
      <c r="W52" s="1"/>
      <c r="X52" s="1"/>
    </row>
    <row r="53" customFormat="false" ht="15.75" hidden="false" customHeight="true" outlineLevel="0" collapsed="false">
      <c r="A53" s="98"/>
      <c r="B53" s="98"/>
      <c r="C53" s="99"/>
      <c r="D53" s="140" t="n">
        <v>1380</v>
      </c>
      <c r="E53" s="101"/>
      <c r="F53" s="117" t="s">
        <v>192</v>
      </c>
      <c r="G53" s="101"/>
      <c r="H53" s="108"/>
      <c r="I53" s="100"/>
      <c r="J53" s="122"/>
      <c r="K53" s="110"/>
      <c r="L53" s="101"/>
      <c r="M53" s="118"/>
      <c r="N53" s="120"/>
      <c r="O53" s="1"/>
      <c r="P53" s="8"/>
      <c r="Q53" s="1"/>
      <c r="R53" s="1"/>
      <c r="S53" s="1"/>
      <c r="T53" s="1"/>
      <c r="U53" s="1"/>
      <c r="V53" s="1"/>
      <c r="W53" s="1"/>
      <c r="X53" s="1"/>
    </row>
    <row r="54" customFormat="false" ht="15.75" hidden="false" customHeight="true" outlineLevel="0" collapsed="false">
      <c r="A54" s="98"/>
      <c r="B54" s="98"/>
      <c r="C54" s="99"/>
      <c r="D54" s="140" t="n">
        <v>2070</v>
      </c>
      <c r="E54" s="101"/>
      <c r="F54" s="117" t="s">
        <v>193</v>
      </c>
      <c r="G54" s="101"/>
      <c r="H54" s="101"/>
      <c r="I54" s="113"/>
      <c r="J54" s="121"/>
      <c r="K54" s="101"/>
      <c r="L54" s="101"/>
      <c r="M54" s="118"/>
      <c r="N54" s="120"/>
      <c r="O54" s="1"/>
      <c r="P54" s="8"/>
      <c r="Q54" s="1"/>
      <c r="R54" s="1"/>
      <c r="S54" s="1"/>
      <c r="T54" s="1"/>
      <c r="U54" s="1"/>
      <c r="V54" s="1"/>
      <c r="W54" s="1"/>
      <c r="X54" s="1"/>
    </row>
    <row r="55" customFormat="false" ht="15.75" hidden="false" customHeight="true" outlineLevel="0" collapsed="false">
      <c r="A55" s="98"/>
      <c r="B55" s="98"/>
      <c r="C55" s="99"/>
      <c r="D55" s="101"/>
      <c r="E55" s="140" t="n">
        <v>90</v>
      </c>
      <c r="F55" s="117" t="s">
        <v>194</v>
      </c>
      <c r="G55" s="101"/>
      <c r="H55" s="101"/>
      <c r="I55" s="100"/>
      <c r="J55" s="122"/>
      <c r="K55" s="101"/>
      <c r="L55" s="101"/>
      <c r="M55" s="118"/>
      <c r="N55" s="120"/>
      <c r="O55" s="1"/>
      <c r="P55" s="8"/>
      <c r="Q55" s="1"/>
      <c r="R55" s="1"/>
      <c r="S55" s="1"/>
      <c r="T55" s="1"/>
      <c r="U55" s="1"/>
      <c r="V55" s="1"/>
      <c r="W55" s="1"/>
      <c r="X55" s="1"/>
    </row>
    <row r="56" customFormat="false" ht="15.75" hidden="false" customHeight="true" outlineLevel="0" collapsed="false">
      <c r="A56" s="98"/>
      <c r="B56" s="98"/>
      <c r="C56" s="99"/>
      <c r="D56" s="101"/>
      <c r="E56" s="140" t="n">
        <v>1410</v>
      </c>
      <c r="F56" s="117" t="n">
        <v>940</v>
      </c>
      <c r="G56" s="101"/>
      <c r="H56" s="101"/>
      <c r="I56" s="100"/>
      <c r="J56" s="122"/>
      <c r="K56" s="101"/>
      <c r="L56" s="101"/>
      <c r="M56" s="118"/>
      <c r="N56" s="120"/>
      <c r="O56" s="1"/>
      <c r="P56" s="8"/>
      <c r="Q56" s="1"/>
      <c r="R56" s="1"/>
      <c r="S56" s="1"/>
      <c r="T56" s="1"/>
      <c r="U56" s="1"/>
      <c r="V56" s="1"/>
      <c r="W56" s="1"/>
      <c r="X56" s="1"/>
    </row>
    <row r="57" customFormat="false" ht="15.75" hidden="false" customHeight="true" outlineLevel="0" collapsed="false">
      <c r="A57" s="98"/>
      <c r="B57" s="98"/>
      <c r="C57" s="99"/>
      <c r="D57" s="101"/>
      <c r="E57" s="140" t="n">
        <v>760</v>
      </c>
      <c r="F57" s="117" t="n">
        <v>170</v>
      </c>
      <c r="G57" s="101"/>
      <c r="H57" s="101"/>
      <c r="I57" s="100"/>
      <c r="J57" s="122"/>
      <c r="K57" s="101"/>
      <c r="L57" s="101"/>
      <c r="M57" s="118"/>
      <c r="N57" s="120"/>
      <c r="O57" s="1"/>
      <c r="P57" s="8"/>
      <c r="Q57" s="1"/>
      <c r="R57" s="1"/>
      <c r="S57" s="1"/>
      <c r="T57" s="1"/>
      <c r="U57" s="1"/>
      <c r="V57" s="1"/>
      <c r="W57" s="1"/>
      <c r="X57" s="1"/>
    </row>
    <row r="58" customFormat="false" ht="15.75" hidden="false" customHeight="true" outlineLevel="0" collapsed="false">
      <c r="A58" s="98"/>
      <c r="B58" s="98"/>
      <c r="C58" s="99"/>
      <c r="D58" s="101"/>
      <c r="E58" s="140" t="n">
        <v>1040</v>
      </c>
      <c r="F58" s="117" t="n">
        <v>594</v>
      </c>
      <c r="G58" s="101"/>
      <c r="H58" s="101"/>
      <c r="I58" s="100"/>
      <c r="J58" s="122"/>
      <c r="K58" s="101"/>
      <c r="L58" s="101"/>
      <c r="M58" s="118"/>
      <c r="N58" s="120"/>
      <c r="O58" s="1"/>
      <c r="P58" s="8"/>
      <c r="Q58" s="1"/>
      <c r="R58" s="1"/>
      <c r="S58" s="1"/>
      <c r="T58" s="1"/>
      <c r="U58" s="1"/>
      <c r="V58" s="1"/>
      <c r="W58" s="1"/>
      <c r="X58" s="1"/>
    </row>
    <row r="59" customFormat="false" ht="15.75" hidden="false" customHeight="true" outlineLevel="0" collapsed="false">
      <c r="A59" s="98"/>
      <c r="B59" s="98"/>
      <c r="C59" s="99"/>
      <c r="D59" s="123" t="n">
        <f aca="false">SUM(D40:D58)</f>
        <v>14798</v>
      </c>
      <c r="E59" s="123" t="n">
        <f aca="false">SUM(E40:E58)</f>
        <v>6293.7</v>
      </c>
      <c r="F59" s="117"/>
      <c r="G59" s="123" t="n">
        <f aca="false">SUM(G40:G58)</f>
        <v>3710</v>
      </c>
      <c r="H59" s="123" t="n">
        <f aca="false">SUM(H40:H58)</f>
        <v>8638</v>
      </c>
      <c r="I59" s="100"/>
      <c r="J59" s="100"/>
      <c r="K59" s="101" t="n">
        <f aca="false">SUM(K40:K58)</f>
        <v>0</v>
      </c>
      <c r="L59" s="101" t="n">
        <f aca="false">SUM(L40:L58)</f>
        <v>0</v>
      </c>
      <c r="M59" s="100"/>
      <c r="N59" s="100"/>
      <c r="O59" s="1"/>
      <c r="P59" s="8"/>
      <c r="Q59" s="1"/>
      <c r="R59" s="1"/>
      <c r="S59" s="1"/>
      <c r="T59" s="1"/>
      <c r="U59" s="1"/>
      <c r="V59" s="1"/>
      <c r="W59" s="1"/>
      <c r="X59" s="1"/>
    </row>
    <row r="60" customFormat="false" ht="15.75" hidden="false" customHeight="true" outlineLevel="0" collapsed="false">
      <c r="A60" s="1"/>
      <c r="B60" s="1"/>
      <c r="C60" s="1"/>
      <c r="D60" s="1"/>
      <c r="E60" s="1"/>
      <c r="F60" s="8"/>
      <c r="G60" s="8"/>
      <c r="H60" s="1"/>
      <c r="I60" s="2"/>
      <c r="J60" s="1"/>
      <c r="K60" s="83"/>
      <c r="L60" s="83"/>
      <c r="M60" s="124"/>
      <c r="N60" s="124"/>
      <c r="O60" s="1"/>
      <c r="P60" s="8"/>
      <c r="Q60" s="1"/>
      <c r="R60" s="1"/>
      <c r="S60" s="1"/>
      <c r="T60" s="1"/>
      <c r="U60" s="1"/>
      <c r="V60" s="1"/>
      <c r="W60" s="1"/>
      <c r="X60" s="1"/>
    </row>
    <row r="61" customFormat="false" ht="15.75" hidden="false" customHeight="true" outlineLevel="0" collapsed="false">
      <c r="A61" s="1"/>
      <c r="B61" s="1"/>
      <c r="C61" s="1"/>
      <c r="D61" s="1"/>
      <c r="E61" s="1"/>
      <c r="F61" s="8"/>
      <c r="G61" s="8"/>
      <c r="H61" s="1"/>
      <c r="I61" s="2"/>
      <c r="J61" s="1"/>
      <c r="K61" s="83"/>
      <c r="L61" s="83"/>
      <c r="M61" s="124"/>
      <c r="N61" s="124"/>
      <c r="O61" s="1"/>
      <c r="P61" s="8"/>
      <c r="Q61" s="1"/>
      <c r="R61" s="1"/>
      <c r="S61" s="1"/>
      <c r="T61" s="1"/>
      <c r="U61" s="1"/>
      <c r="V61" s="1"/>
      <c r="W61" s="1"/>
      <c r="X61" s="1"/>
    </row>
    <row r="62" customFormat="false" ht="15.75" hidden="false" customHeight="true" outlineLevel="0" collapsed="false">
      <c r="A62" s="1"/>
      <c r="B62" s="1"/>
      <c r="C62" s="1"/>
      <c r="D62" s="1"/>
      <c r="E62" s="1"/>
      <c r="F62" s="8"/>
      <c r="G62" s="8"/>
      <c r="H62" s="1"/>
      <c r="I62" s="2"/>
      <c r="J62" s="1"/>
      <c r="K62" s="83"/>
      <c r="L62" s="83"/>
      <c r="M62" s="124"/>
      <c r="N62" s="124"/>
      <c r="O62" s="1"/>
      <c r="P62" s="8"/>
      <c r="Q62" s="1"/>
      <c r="R62" s="1"/>
      <c r="S62" s="1"/>
      <c r="T62" s="1"/>
      <c r="U62" s="1"/>
      <c r="V62" s="1"/>
      <c r="W62" s="1"/>
      <c r="X62" s="1"/>
    </row>
    <row r="63" customFormat="false" ht="15.75" hidden="false" customHeight="true" outlineLevel="0" collapsed="false">
      <c r="A63" s="1"/>
      <c r="B63" s="1"/>
      <c r="C63" s="1"/>
      <c r="D63" s="1"/>
      <c r="E63" s="1"/>
      <c r="F63" s="8"/>
      <c r="G63" s="8"/>
      <c r="H63" s="1"/>
      <c r="I63" s="2"/>
      <c r="J63" s="1"/>
      <c r="K63" s="125"/>
      <c r="L63" s="125"/>
      <c r="M63" s="124"/>
      <c r="N63" s="124"/>
      <c r="O63" s="1"/>
      <c r="P63" s="8"/>
      <c r="Q63" s="1"/>
      <c r="R63" s="1"/>
      <c r="S63" s="1"/>
      <c r="T63" s="1"/>
      <c r="U63" s="1"/>
      <c r="V63" s="1"/>
      <c r="W63" s="1"/>
      <c r="X63" s="1"/>
    </row>
    <row r="64" customFormat="false" ht="15.75" hidden="false" customHeight="true" outlineLevel="0" collapsed="false">
      <c r="A64" s="1"/>
      <c r="B64" s="1"/>
      <c r="C64" s="1"/>
      <c r="D64" s="1"/>
      <c r="E64" s="1"/>
      <c r="F64" s="8"/>
      <c r="G64" s="8"/>
      <c r="H64" s="1"/>
      <c r="I64" s="2"/>
      <c r="J64" s="1"/>
      <c r="K64" s="2"/>
      <c r="L64" s="1"/>
      <c r="M64" s="1"/>
      <c r="N64" s="1"/>
      <c r="O64" s="1"/>
      <c r="P64" s="8"/>
      <c r="Q64" s="1"/>
      <c r="R64" s="1"/>
      <c r="S64" s="1"/>
      <c r="T64" s="1"/>
      <c r="U64" s="1"/>
      <c r="V64" s="1"/>
      <c r="W64" s="1"/>
      <c r="X64" s="1"/>
    </row>
    <row r="65" customFormat="false" ht="15.75" hidden="false" customHeight="true" outlineLevel="0" collapsed="false">
      <c r="A65" s="1"/>
      <c r="B65" s="1"/>
      <c r="C65" s="1"/>
      <c r="D65" s="1"/>
      <c r="E65" s="1"/>
      <c r="F65" s="8"/>
      <c r="G65" s="8"/>
      <c r="H65" s="1"/>
      <c r="I65" s="2"/>
      <c r="J65" s="1"/>
      <c r="K65" s="2"/>
      <c r="L65" s="1"/>
      <c r="M65" s="1"/>
      <c r="N65" s="1"/>
      <c r="O65" s="1"/>
      <c r="P65" s="8"/>
      <c r="Q65" s="1"/>
      <c r="R65" s="1"/>
      <c r="S65" s="1"/>
      <c r="T65" s="1"/>
      <c r="U65" s="1"/>
      <c r="V65" s="1"/>
      <c r="W65" s="1"/>
      <c r="X65" s="1"/>
    </row>
    <row r="66" customFormat="false" ht="15.75" hidden="false" customHeight="true" outlineLevel="0" collapsed="false">
      <c r="A66" s="1"/>
      <c r="B66" s="1"/>
      <c r="C66" s="1"/>
      <c r="D66" s="1"/>
      <c r="E66" s="1"/>
      <c r="F66" s="8"/>
      <c r="G66" s="8"/>
      <c r="H66" s="1"/>
      <c r="I66" s="2"/>
      <c r="J66" s="1"/>
      <c r="K66" s="2"/>
      <c r="L66" s="1"/>
      <c r="M66" s="1"/>
      <c r="N66" s="1"/>
      <c r="O66" s="1"/>
      <c r="P66" s="8"/>
      <c r="Q66" s="1"/>
      <c r="R66" s="1"/>
      <c r="S66" s="1"/>
      <c r="T66" s="1"/>
      <c r="U66" s="1"/>
      <c r="V66" s="1"/>
      <c r="W66" s="1"/>
      <c r="X66" s="1"/>
    </row>
    <row r="67" customFormat="false" ht="15.75" hidden="false" customHeight="true" outlineLevel="0" collapsed="false">
      <c r="A67" s="1"/>
      <c r="B67" s="1"/>
      <c r="C67" s="1"/>
      <c r="D67" s="1"/>
      <c r="E67" s="1"/>
      <c r="F67" s="8"/>
      <c r="G67" s="8"/>
      <c r="H67" s="1"/>
      <c r="I67" s="2"/>
      <c r="J67" s="1"/>
      <c r="K67" s="2"/>
      <c r="L67" s="1"/>
      <c r="M67" s="1"/>
      <c r="N67" s="1"/>
      <c r="O67" s="1"/>
      <c r="P67" s="8"/>
      <c r="Q67" s="1"/>
      <c r="R67" s="1"/>
      <c r="S67" s="1"/>
      <c r="T67" s="1"/>
      <c r="U67" s="1"/>
      <c r="V67" s="1"/>
      <c r="W67" s="1"/>
      <c r="X67" s="1"/>
    </row>
    <row r="68" customFormat="false" ht="15.75" hidden="false" customHeight="true" outlineLevel="0" collapsed="false">
      <c r="A68" s="1"/>
      <c r="B68" s="1"/>
      <c r="C68" s="1"/>
      <c r="D68" s="1"/>
      <c r="E68" s="1"/>
      <c r="F68" s="8"/>
      <c r="G68" s="8"/>
      <c r="H68" s="1"/>
      <c r="I68" s="2"/>
      <c r="J68" s="1"/>
      <c r="K68" s="2"/>
      <c r="L68" s="1"/>
      <c r="M68" s="1"/>
      <c r="N68" s="1"/>
      <c r="O68" s="1"/>
      <c r="P68" s="8"/>
      <c r="Q68" s="1"/>
      <c r="R68" s="1"/>
      <c r="S68" s="1"/>
      <c r="T68" s="1"/>
      <c r="U68" s="1"/>
      <c r="V68" s="1"/>
      <c r="W68" s="1"/>
      <c r="X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8"/>
      <c r="G69" s="8"/>
      <c r="H69" s="1"/>
      <c r="I69" s="2"/>
      <c r="J69" s="1"/>
      <c r="K69" s="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customFormat="false" ht="15.75" hidden="false" customHeight="true" outlineLevel="0" collapsed="false">
      <c r="A70" s="1"/>
      <c r="B70" s="1"/>
      <c r="C70" s="1"/>
      <c r="D70" s="1"/>
      <c r="E70" s="1"/>
      <c r="F70" s="8"/>
      <c r="G70" s="8"/>
      <c r="H70" s="1"/>
      <c r="I70" s="2"/>
      <c r="J70" s="1"/>
      <c r="K70" s="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customFormat="false" ht="15.75" hidden="false" customHeight="true" outlineLevel="0" collapsed="false">
      <c r="A71" s="1"/>
      <c r="B71" s="1"/>
      <c r="C71" s="1"/>
      <c r="D71" s="1"/>
      <c r="E71" s="1"/>
      <c r="F71" s="8"/>
      <c r="G71" s="8"/>
      <c r="H71" s="1"/>
      <c r="I71" s="2"/>
      <c r="J71" s="1"/>
      <c r="K71" s="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customFormat="false" ht="15.75" hidden="false" customHeight="true" outlineLevel="0" collapsed="false">
      <c r="A72" s="1"/>
      <c r="B72" s="1"/>
      <c r="C72" s="1"/>
      <c r="D72" s="1"/>
      <c r="E72" s="1"/>
      <c r="F72" s="8"/>
      <c r="G72" s="8"/>
      <c r="H72" s="1"/>
      <c r="I72" s="2"/>
      <c r="J72" s="1"/>
      <c r="K72" s="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customFormat="false" ht="15.75" hidden="false" customHeight="true" outlineLevel="0" collapsed="false">
      <c r="A73" s="1"/>
      <c r="B73" s="1"/>
      <c r="C73" s="1"/>
      <c r="D73" s="1"/>
      <c r="E73" s="1"/>
      <c r="F73" s="8"/>
      <c r="G73" s="8"/>
      <c r="H73" s="1"/>
      <c r="I73" s="2"/>
      <c r="J73" s="1"/>
      <c r="K73" s="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customFormat="false" ht="15.75" hidden="false" customHeight="true" outlineLevel="0" collapsed="false">
      <c r="A74" s="1"/>
      <c r="B74" s="1"/>
      <c r="C74" s="1"/>
      <c r="D74" s="1"/>
      <c r="E74" s="1"/>
      <c r="F74" s="8"/>
      <c r="G74" s="8"/>
      <c r="H74" s="1"/>
      <c r="I74" s="2"/>
      <c r="J74" s="1"/>
      <c r="K74" s="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customFormat="false" ht="15.75" hidden="false" customHeight="true" outlineLevel="0" collapsed="false">
      <c r="A75" s="1"/>
      <c r="B75" s="1"/>
      <c r="C75" s="1"/>
      <c r="D75" s="1"/>
      <c r="E75" s="1"/>
      <c r="F75" s="8"/>
      <c r="G75" s="8"/>
      <c r="H75" s="1"/>
      <c r="I75" s="2"/>
      <c r="J75" s="1"/>
      <c r="K75" s="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customFormat="false" ht="15.75" hidden="false" customHeight="true" outlineLevel="0" collapsed="false">
      <c r="A76" s="1"/>
      <c r="B76" s="1"/>
      <c r="C76" s="1"/>
      <c r="D76" s="1"/>
      <c r="E76" s="1"/>
      <c r="F76" s="8"/>
      <c r="G76" s="8"/>
      <c r="H76" s="1"/>
      <c r="I76" s="2"/>
      <c r="J76" s="1"/>
      <c r="K76" s="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2"/>
      <c r="J77" s="1"/>
      <c r="K77" s="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2"/>
      <c r="J78" s="1"/>
      <c r="K78" s="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2"/>
      <c r="J79" s="1"/>
      <c r="K79" s="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2"/>
      <c r="J80" s="1"/>
      <c r="K80" s="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2"/>
      <c r="J81" s="1"/>
      <c r="K81" s="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2"/>
      <c r="J82" s="1"/>
      <c r="K82" s="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2"/>
      <c r="J83" s="1"/>
      <c r="K83" s="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2"/>
      <c r="J84" s="1"/>
      <c r="K84" s="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2"/>
      <c r="J85" s="1"/>
      <c r="K85" s="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2"/>
      <c r="J86" s="1"/>
      <c r="K86" s="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2"/>
      <c r="J87" s="1"/>
      <c r="K87" s="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2"/>
      <c r="J88" s="1"/>
      <c r="K88" s="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2"/>
      <c r="J89" s="1"/>
      <c r="K89" s="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2"/>
      <c r="J90" s="1"/>
      <c r="K90" s="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2"/>
      <c r="J91" s="1"/>
      <c r="K91" s="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2"/>
      <c r="J92" s="1"/>
      <c r="K92" s="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2"/>
      <c r="J93" s="1"/>
      <c r="K93" s="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2"/>
      <c r="J94" s="1"/>
      <c r="K94" s="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2"/>
      <c r="J95" s="1"/>
      <c r="K95" s="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2"/>
      <c r="J96" s="1"/>
      <c r="K96" s="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2"/>
      <c r="J97" s="1"/>
      <c r="K97" s="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2"/>
      <c r="J98" s="1"/>
      <c r="K98" s="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2"/>
      <c r="J99" s="1"/>
      <c r="K99" s="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2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2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2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2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2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2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2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2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2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2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2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2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2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2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2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2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2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2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2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2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2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2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2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2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2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2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2"/>
      <c r="L252" s="1"/>
      <c r="M252" s="1"/>
      <c r="N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2"/>
      <c r="L253" s="1"/>
      <c r="M253" s="1"/>
      <c r="N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2"/>
      <c r="L254" s="1"/>
      <c r="M254" s="1"/>
      <c r="N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2"/>
      <c r="L255" s="1"/>
      <c r="M255" s="1"/>
      <c r="N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2"/>
      <c r="L256" s="1"/>
      <c r="M256" s="1"/>
      <c r="N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2"/>
      <c r="L257" s="1"/>
      <c r="M257" s="1"/>
      <c r="N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2"/>
      <c r="L258" s="1"/>
      <c r="M258" s="1"/>
      <c r="N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2"/>
      <c r="L259" s="1"/>
      <c r="M259" s="1"/>
      <c r="N259" s="1"/>
    </row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4">
    <mergeCell ref="F2:F3"/>
    <mergeCell ref="H2:J2"/>
    <mergeCell ref="L2:O2"/>
    <mergeCell ref="Q2:S2"/>
    <mergeCell ref="U2:X2"/>
    <mergeCell ref="D3:E3"/>
    <mergeCell ref="B23:D27"/>
    <mergeCell ref="H23:J23"/>
    <mergeCell ref="L23:O23"/>
    <mergeCell ref="Q23:S23"/>
    <mergeCell ref="U23:X23"/>
    <mergeCell ref="B28:D32"/>
    <mergeCell ref="A34:C34"/>
    <mergeCell ref="A36:B36"/>
    <mergeCell ref="A39:B59"/>
    <mergeCell ref="C39:C5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I49:J49"/>
    <mergeCell ref="M49:N49"/>
    <mergeCell ref="I50:J50"/>
    <mergeCell ref="I59:J59"/>
    <mergeCell ref="M59:N59"/>
    <mergeCell ref="M60:N60"/>
    <mergeCell ref="M61:N61"/>
    <mergeCell ref="M62:N62"/>
    <mergeCell ref="M63:N6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sheetData>
    <row r="1" customFormat="false" ht="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  <c r="J1" s="1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15.75" hidden="true" customHeight="true" outlineLevel="0" collapsed="false">
      <c r="A2" s="3" t="s">
        <v>1</v>
      </c>
      <c r="B2" s="4"/>
      <c r="C2" s="5"/>
      <c r="D2" s="5" t="s">
        <v>2</v>
      </c>
      <c r="E2" s="6"/>
      <c r="F2" s="7" t="s">
        <v>3</v>
      </c>
      <c r="G2" s="8"/>
      <c r="H2" s="9" t="s">
        <v>4</v>
      </c>
      <c r="I2" s="9"/>
      <c r="J2" s="9"/>
      <c r="K2" s="10"/>
      <c r="L2" s="11" t="s">
        <v>5</v>
      </c>
      <c r="M2" s="11"/>
      <c r="N2" s="11"/>
      <c r="O2" s="11"/>
      <c r="P2" s="12"/>
      <c r="Q2" s="13" t="s">
        <v>6</v>
      </c>
      <c r="R2" s="13"/>
      <c r="S2" s="13"/>
      <c r="T2" s="14"/>
      <c r="U2" s="15" t="s">
        <v>5</v>
      </c>
      <c r="V2" s="15"/>
      <c r="W2" s="15"/>
      <c r="X2" s="15"/>
    </row>
    <row r="3" customFormat="false" ht="15.75" hidden="false" customHeight="true" outlineLevel="0" collapsed="false">
      <c r="A3" s="16"/>
      <c r="B3" s="17"/>
      <c r="C3" s="18"/>
      <c r="D3" s="19" t="s">
        <v>7</v>
      </c>
      <c r="E3" s="19"/>
      <c r="F3" s="7"/>
      <c r="G3" s="8"/>
      <c r="H3" s="20"/>
      <c r="I3" s="21"/>
      <c r="J3" s="22"/>
      <c r="K3" s="23"/>
      <c r="L3" s="12"/>
      <c r="M3" s="24"/>
      <c r="N3" s="24"/>
      <c r="O3" s="25"/>
      <c r="P3" s="12"/>
      <c r="Q3" s="20"/>
      <c r="R3" s="22"/>
      <c r="S3" s="22"/>
      <c r="T3" s="12"/>
      <c r="U3" s="12"/>
      <c r="V3" s="24"/>
      <c r="W3" s="24"/>
      <c r="X3" s="25"/>
    </row>
    <row r="4" customFormat="false" ht="15.75" hidden="false" customHeight="true" outlineLevel="0" collapsed="false">
      <c r="A4" s="26" t="s">
        <v>8</v>
      </c>
      <c r="B4" s="27"/>
      <c r="C4" s="28"/>
      <c r="D4" s="28"/>
      <c r="E4" s="29" t="n">
        <v>1000</v>
      </c>
      <c r="F4" s="30" t="n">
        <f aca="false">SUM(B4:E4)</f>
        <v>1000</v>
      </c>
      <c r="G4" s="8"/>
      <c r="H4" s="31" t="s">
        <v>9</v>
      </c>
      <c r="I4" s="32" t="s">
        <v>10</v>
      </c>
      <c r="J4" s="33" t="s">
        <v>11</v>
      </c>
      <c r="K4" s="32" t="s">
        <v>12</v>
      </c>
      <c r="L4" s="34" t="s">
        <v>13</v>
      </c>
      <c r="M4" s="34" t="s">
        <v>14</v>
      </c>
      <c r="N4" s="34" t="s">
        <v>15</v>
      </c>
      <c r="O4" s="35" t="s">
        <v>16</v>
      </c>
      <c r="P4" s="12"/>
      <c r="Q4" s="31" t="s">
        <v>9</v>
      </c>
      <c r="R4" s="32" t="s">
        <v>10</v>
      </c>
      <c r="S4" s="33" t="s">
        <v>11</v>
      </c>
      <c r="T4" s="32" t="s">
        <v>12</v>
      </c>
      <c r="U4" s="34" t="s">
        <v>13</v>
      </c>
      <c r="V4" s="34" t="s">
        <v>14</v>
      </c>
      <c r="W4" s="34" t="s">
        <v>15</v>
      </c>
      <c r="X4" s="35" t="s">
        <v>16</v>
      </c>
    </row>
    <row r="5" customFormat="false" ht="15.75" hidden="false" customHeight="true" outlineLevel="0" collapsed="false">
      <c r="A5" s="36"/>
      <c r="B5" s="37" t="n">
        <v>1529</v>
      </c>
      <c r="C5" s="38" t="n">
        <v>14410</v>
      </c>
      <c r="D5" s="39" t="n">
        <v>924</v>
      </c>
      <c r="E5" s="37" t="n">
        <v>3965</v>
      </c>
      <c r="F5" s="40" t="n">
        <v>2025</v>
      </c>
      <c r="G5" s="8"/>
      <c r="H5" s="41"/>
      <c r="I5" s="42"/>
      <c r="J5" s="43"/>
      <c r="K5" s="44" t="n">
        <f aca="false">SUM(J5*90/100)</f>
        <v>0</v>
      </c>
      <c r="L5" s="45"/>
      <c r="M5" s="44" t="n">
        <f aca="false">K5-L5</f>
        <v>0</v>
      </c>
      <c r="N5" s="46"/>
      <c r="O5" s="47"/>
      <c r="P5" s="12"/>
      <c r="Q5" s="41" t="n">
        <v>24064</v>
      </c>
      <c r="R5" s="42" t="s">
        <v>195</v>
      </c>
      <c r="S5" s="43" t="n">
        <v>2000</v>
      </c>
      <c r="T5" s="48" t="n">
        <f aca="false">SUM(S5*90/100)</f>
        <v>1800</v>
      </c>
      <c r="U5" s="45" t="n">
        <v>5</v>
      </c>
      <c r="V5" s="48" t="n">
        <f aca="false">T5-U5</f>
        <v>1795</v>
      </c>
      <c r="W5" s="46" t="s">
        <v>112</v>
      </c>
      <c r="X5" s="47" t="s">
        <v>91</v>
      </c>
    </row>
    <row r="6" customFormat="false" ht="15.75" hidden="false" customHeight="true" outlineLevel="0" collapsed="false">
      <c r="A6" s="49"/>
      <c r="B6" s="50" t="n">
        <v>1817</v>
      </c>
      <c r="C6" s="51" t="n">
        <v>200</v>
      </c>
      <c r="D6" s="51" t="n">
        <v>1000</v>
      </c>
      <c r="E6" s="50" t="n">
        <v>2160</v>
      </c>
      <c r="F6" s="52" t="n">
        <v>2208</v>
      </c>
      <c r="G6" s="8"/>
      <c r="H6" s="41"/>
      <c r="I6" s="42"/>
      <c r="J6" s="43"/>
      <c r="K6" s="44" t="n">
        <f aca="false">SUM(J6*90/100)</f>
        <v>0</v>
      </c>
      <c r="L6" s="45"/>
      <c r="M6" s="44" t="n">
        <f aca="false">K6-L6</f>
        <v>0</v>
      </c>
      <c r="N6" s="46"/>
      <c r="O6" s="47"/>
      <c r="P6" s="12"/>
      <c r="Q6" s="41" t="n">
        <v>23374</v>
      </c>
      <c r="R6" s="42" t="s">
        <v>52</v>
      </c>
      <c r="S6" s="43" t="n">
        <v>400</v>
      </c>
      <c r="T6" s="48" t="n">
        <f aca="false">SUM(S6*90/100)</f>
        <v>360</v>
      </c>
      <c r="U6" s="45" t="n">
        <v>5</v>
      </c>
      <c r="V6" s="48" t="n">
        <f aca="false">T6-U6</f>
        <v>355</v>
      </c>
      <c r="W6" s="46" t="s">
        <v>112</v>
      </c>
      <c r="X6" s="47" t="s">
        <v>91</v>
      </c>
    </row>
    <row r="7" customFormat="false" ht="15.75" hidden="false" customHeight="true" outlineLevel="0" collapsed="false">
      <c r="A7" s="53" t="s">
        <v>17</v>
      </c>
      <c r="B7" s="54" t="n">
        <f aca="false">C39</f>
        <v>9152</v>
      </c>
      <c r="C7" s="55" t="n">
        <v>100</v>
      </c>
      <c r="D7" s="56" t="s">
        <v>18</v>
      </c>
      <c r="E7" s="57" t="n">
        <v>0</v>
      </c>
      <c r="F7" s="58" t="n">
        <f aca="false">SUM(A5:F6)</f>
        <v>30238</v>
      </c>
      <c r="G7" s="8"/>
      <c r="H7" s="41"/>
      <c r="I7" s="42"/>
      <c r="J7" s="43"/>
      <c r="K7" s="44" t="n">
        <f aca="false">SUM(J7*90/100)</f>
        <v>0</v>
      </c>
      <c r="L7" s="45"/>
      <c r="M7" s="44" t="n">
        <f aca="false">K7-L7</f>
        <v>0</v>
      </c>
      <c r="N7" s="46"/>
      <c r="O7" s="47"/>
      <c r="P7" s="12"/>
      <c r="Q7" s="41" t="n">
        <v>23288</v>
      </c>
      <c r="R7" s="42" t="s">
        <v>196</v>
      </c>
      <c r="S7" s="43" t="n">
        <v>300</v>
      </c>
      <c r="T7" s="48" t="n">
        <f aca="false">SUM(S7*90/100)</f>
        <v>270</v>
      </c>
      <c r="U7" s="45" t="n">
        <v>5</v>
      </c>
      <c r="V7" s="48" t="n">
        <f aca="false">T7-U7</f>
        <v>265</v>
      </c>
      <c r="W7" s="46" t="s">
        <v>47</v>
      </c>
      <c r="X7" s="47" t="s">
        <v>73</v>
      </c>
    </row>
    <row r="8" customFormat="false" ht="15.75" hidden="false" customHeight="true" outlineLevel="0" collapsed="false">
      <c r="A8" s="16" t="s">
        <v>19</v>
      </c>
      <c r="B8" s="57"/>
      <c r="C8" s="55" t="n">
        <v>50</v>
      </c>
      <c r="D8" s="56" t="s">
        <v>18</v>
      </c>
      <c r="E8" s="37" t="n">
        <v>20100</v>
      </c>
      <c r="F8" s="40"/>
      <c r="G8" s="8"/>
      <c r="H8" s="41"/>
      <c r="I8" s="42"/>
      <c r="J8" s="43"/>
      <c r="K8" s="44" t="n">
        <f aca="false">SUM(J8*90/100)</f>
        <v>0</v>
      </c>
      <c r="L8" s="45"/>
      <c r="M8" s="44" t="n">
        <f aca="false">K8-L8</f>
        <v>0</v>
      </c>
      <c r="N8" s="46"/>
      <c r="O8" s="47"/>
      <c r="P8" s="12"/>
      <c r="Q8" s="41" t="n">
        <v>23204</v>
      </c>
      <c r="R8" s="42" t="s">
        <v>197</v>
      </c>
      <c r="S8" s="43" t="n">
        <v>1000</v>
      </c>
      <c r="T8" s="48" t="n">
        <f aca="false">SUM(S8*90/100)</f>
        <v>900</v>
      </c>
      <c r="U8" s="45" t="n">
        <v>5</v>
      </c>
      <c r="V8" s="48" t="n">
        <f aca="false">T8-U8</f>
        <v>895</v>
      </c>
      <c r="W8" s="46" t="s">
        <v>112</v>
      </c>
      <c r="X8" s="47" t="s">
        <v>96</v>
      </c>
    </row>
    <row r="9" customFormat="false" ht="15.75" hidden="false" customHeight="true" outlineLevel="0" collapsed="false">
      <c r="A9" s="59" t="s">
        <v>113</v>
      </c>
      <c r="B9" s="17" t="n">
        <v>9640</v>
      </c>
      <c r="C9" s="55" t="n">
        <v>10</v>
      </c>
      <c r="D9" s="56" t="s">
        <v>18</v>
      </c>
      <c r="E9" s="50" t="n">
        <v>840</v>
      </c>
      <c r="F9" s="40"/>
      <c r="G9" s="8"/>
      <c r="H9" s="41"/>
      <c r="I9" s="42"/>
      <c r="J9" s="43"/>
      <c r="K9" s="44" t="n">
        <f aca="false">SUM(J9*90/100)</f>
        <v>0</v>
      </c>
      <c r="L9" s="45"/>
      <c r="M9" s="44" t="n">
        <f aca="false">K9-L9</f>
        <v>0</v>
      </c>
      <c r="N9" s="46"/>
      <c r="O9" s="47"/>
      <c r="P9" s="12"/>
      <c r="Q9" s="41" t="n">
        <v>23357</v>
      </c>
      <c r="R9" s="42" t="s">
        <v>198</v>
      </c>
      <c r="S9" s="43" t="n">
        <v>100</v>
      </c>
      <c r="T9" s="48" t="n">
        <f aca="false">SUM(S9*90/100)</f>
        <v>90</v>
      </c>
      <c r="U9" s="45" t="n">
        <v>5</v>
      </c>
      <c r="V9" s="48" t="n">
        <f aca="false">T9-U9</f>
        <v>85</v>
      </c>
      <c r="W9" s="46" t="s">
        <v>112</v>
      </c>
      <c r="X9" s="47" t="s">
        <v>44</v>
      </c>
    </row>
    <row r="10" customFormat="false" ht="15.75" hidden="false" customHeight="true" outlineLevel="0" collapsed="false">
      <c r="A10" s="59" t="s">
        <v>157</v>
      </c>
      <c r="B10" s="17" t="n">
        <v>190</v>
      </c>
      <c r="C10" s="55" t="n">
        <v>5</v>
      </c>
      <c r="D10" s="18" t="s">
        <v>18</v>
      </c>
      <c r="E10" s="50" t="n">
        <v>115</v>
      </c>
      <c r="F10" s="40"/>
      <c r="G10" s="8"/>
      <c r="H10" s="41"/>
      <c r="I10" s="42"/>
      <c r="J10" s="43"/>
      <c r="K10" s="44" t="n">
        <f aca="false">SUM(J10*90/100)</f>
        <v>0</v>
      </c>
      <c r="L10" s="45"/>
      <c r="M10" s="44" t="n">
        <f aca="false">K10-L10</f>
        <v>0</v>
      </c>
      <c r="N10" s="46"/>
      <c r="O10" s="47"/>
      <c r="P10" s="12"/>
      <c r="Q10" s="41" t="n">
        <v>23381</v>
      </c>
      <c r="R10" s="42" t="s">
        <v>199</v>
      </c>
      <c r="S10" s="43" t="n">
        <v>350</v>
      </c>
      <c r="T10" s="48" t="n">
        <f aca="false">SUM(S10*90/100)</f>
        <v>315</v>
      </c>
      <c r="U10" s="45" t="n">
        <v>5</v>
      </c>
      <c r="V10" s="48" t="n">
        <f aca="false">T10-U10</f>
        <v>310</v>
      </c>
      <c r="W10" s="46" t="s">
        <v>112</v>
      </c>
      <c r="X10" s="47" t="s">
        <v>44</v>
      </c>
    </row>
    <row r="11" customFormat="false" ht="15.75" hidden="false" customHeight="true" outlineLevel="0" collapsed="false">
      <c r="A11" s="59" t="s">
        <v>200</v>
      </c>
      <c r="B11" s="17" t="n">
        <v>10</v>
      </c>
      <c r="C11" s="55" t="n">
        <v>1</v>
      </c>
      <c r="D11" s="60" t="s">
        <v>18</v>
      </c>
      <c r="E11" s="50" t="n">
        <v>58</v>
      </c>
      <c r="F11" s="40"/>
      <c r="G11" s="8"/>
      <c r="H11" s="41"/>
      <c r="I11" s="42"/>
      <c r="J11" s="43"/>
      <c r="K11" s="44" t="n">
        <f aca="false">SUM(J11*90/100)</f>
        <v>0</v>
      </c>
      <c r="L11" s="45"/>
      <c r="M11" s="44" t="n">
        <f aca="false">K11-L11</f>
        <v>0</v>
      </c>
      <c r="N11" s="46"/>
      <c r="O11" s="47"/>
      <c r="P11" s="12"/>
      <c r="Q11" s="41" t="s">
        <v>201</v>
      </c>
      <c r="R11" s="42" t="s">
        <v>202</v>
      </c>
      <c r="S11" s="43" t="n">
        <v>1000</v>
      </c>
      <c r="T11" s="48" t="n">
        <f aca="false">SUM(S11*90/100)</f>
        <v>900</v>
      </c>
      <c r="U11" s="45" t="n">
        <v>5</v>
      </c>
      <c r="V11" s="48" t="n">
        <f aca="false">T11-U11</f>
        <v>895</v>
      </c>
      <c r="W11" s="46" t="s">
        <v>47</v>
      </c>
      <c r="X11" s="47" t="s">
        <v>115</v>
      </c>
    </row>
    <row r="12" customFormat="false" ht="15.75" hidden="false" customHeight="true" outlineLevel="0" collapsed="false">
      <c r="A12" s="59"/>
      <c r="B12" s="17"/>
      <c r="C12" s="61" t="s">
        <v>20</v>
      </c>
      <c r="D12" s="56" t="s">
        <v>18</v>
      </c>
      <c r="E12" s="62" t="n">
        <f aca="false">SUM(E7:E11)</f>
        <v>21113</v>
      </c>
      <c r="F12" s="40"/>
      <c r="G12" s="8"/>
      <c r="H12" s="41"/>
      <c r="I12" s="42"/>
      <c r="J12" s="43"/>
      <c r="K12" s="44" t="n">
        <f aca="false">SUM(J12*90/100)</f>
        <v>0</v>
      </c>
      <c r="L12" s="45"/>
      <c r="M12" s="44" t="n">
        <f aca="false">K12-L12</f>
        <v>0</v>
      </c>
      <c r="N12" s="46"/>
      <c r="O12" s="47"/>
      <c r="P12" s="12"/>
      <c r="Q12" s="41" t="n">
        <v>23359</v>
      </c>
      <c r="R12" s="42" t="s">
        <v>203</v>
      </c>
      <c r="S12" s="43" t="n">
        <v>650</v>
      </c>
      <c r="T12" s="48" t="n">
        <f aca="false">SUM(S12*90/100)</f>
        <v>585</v>
      </c>
      <c r="U12" s="45" t="n">
        <v>5</v>
      </c>
      <c r="V12" s="48" t="n">
        <f aca="false">T12-U12</f>
        <v>580</v>
      </c>
      <c r="W12" s="46" t="s">
        <v>47</v>
      </c>
      <c r="X12" s="47" t="s">
        <v>115</v>
      </c>
    </row>
    <row r="13" customFormat="false" ht="15.75" hidden="false" customHeight="true" outlineLevel="0" collapsed="false">
      <c r="A13" s="59"/>
      <c r="B13" s="17"/>
      <c r="C13" s="63"/>
      <c r="D13" s="18"/>
      <c r="E13" s="17"/>
      <c r="F13" s="40"/>
      <c r="G13" s="8"/>
      <c r="H13" s="41"/>
      <c r="I13" s="42"/>
      <c r="J13" s="43"/>
      <c r="K13" s="44" t="n">
        <f aca="false">SUM(J13*90/100)</f>
        <v>0</v>
      </c>
      <c r="L13" s="45"/>
      <c r="M13" s="44" t="n">
        <f aca="false">K13-L13</f>
        <v>0</v>
      </c>
      <c r="N13" s="46"/>
      <c r="O13" s="47"/>
      <c r="P13" s="12"/>
      <c r="Q13" s="41"/>
      <c r="R13" s="42"/>
      <c r="S13" s="43"/>
      <c r="T13" s="48" t="n">
        <f aca="false">SUM(S13*90/100)</f>
        <v>0</v>
      </c>
      <c r="U13" s="45"/>
      <c r="V13" s="48" t="n">
        <f aca="false">T13-U13</f>
        <v>0</v>
      </c>
      <c r="W13" s="46"/>
      <c r="X13" s="47"/>
    </row>
    <row r="14" customFormat="false" ht="15.75" hidden="false" customHeight="true" outlineLevel="0" collapsed="false">
      <c r="A14" s="59"/>
      <c r="B14" s="17"/>
      <c r="C14" s="63"/>
      <c r="D14" s="18"/>
      <c r="E14" s="17"/>
      <c r="F14" s="40"/>
      <c r="G14" s="8"/>
      <c r="H14" s="41"/>
      <c r="I14" s="42"/>
      <c r="J14" s="43"/>
      <c r="K14" s="44" t="n">
        <f aca="false">SUM(J14*90/100)</f>
        <v>0</v>
      </c>
      <c r="L14" s="45"/>
      <c r="M14" s="44" t="n">
        <f aca="false">K14-L14</f>
        <v>0</v>
      </c>
      <c r="N14" s="46"/>
      <c r="O14" s="47"/>
      <c r="P14" s="12"/>
      <c r="Q14" s="41"/>
      <c r="R14" s="42"/>
      <c r="S14" s="43"/>
      <c r="T14" s="48" t="n">
        <f aca="false">SUM(S14*90/100)</f>
        <v>0</v>
      </c>
      <c r="U14" s="45"/>
      <c r="V14" s="48" t="n">
        <f aca="false">T14-U14</f>
        <v>0</v>
      </c>
      <c r="W14" s="46"/>
      <c r="X14" s="47"/>
    </row>
    <row r="15" customFormat="false" ht="15.75" hidden="false" customHeight="true" outlineLevel="0" collapsed="false">
      <c r="A15" s="59"/>
      <c r="B15" s="17"/>
      <c r="C15" s="63"/>
      <c r="D15" s="18"/>
      <c r="E15" s="17"/>
      <c r="F15" s="40"/>
      <c r="G15" s="8"/>
      <c r="H15" s="41"/>
      <c r="I15" s="42"/>
      <c r="J15" s="43"/>
      <c r="K15" s="44" t="n">
        <f aca="false">SUM(J15*90/100)</f>
        <v>0</v>
      </c>
      <c r="L15" s="45"/>
      <c r="M15" s="44" t="n">
        <f aca="false">K15-L15</f>
        <v>0</v>
      </c>
      <c r="N15" s="46"/>
      <c r="O15" s="47"/>
      <c r="P15" s="12"/>
      <c r="Q15" s="41"/>
      <c r="R15" s="42"/>
      <c r="S15" s="43"/>
      <c r="T15" s="48" t="n">
        <f aca="false">SUM(S15*90/100)</f>
        <v>0</v>
      </c>
      <c r="U15" s="45"/>
      <c r="V15" s="48" t="n">
        <f aca="false">T15-U15</f>
        <v>0</v>
      </c>
      <c r="W15" s="46"/>
      <c r="X15" s="47"/>
    </row>
    <row r="16" customFormat="false" ht="15.75" hidden="false" customHeight="true" outlineLevel="0" collapsed="false">
      <c r="A16" s="59"/>
      <c r="B16" s="17"/>
      <c r="C16" s="63"/>
      <c r="D16" s="18"/>
      <c r="E16" s="17"/>
      <c r="F16" s="40"/>
      <c r="G16" s="8"/>
      <c r="H16" s="41"/>
      <c r="I16" s="42"/>
      <c r="J16" s="43"/>
      <c r="K16" s="44" t="n">
        <f aca="false">SUM(J16*90/100)</f>
        <v>0</v>
      </c>
      <c r="L16" s="45"/>
      <c r="M16" s="44" t="n">
        <f aca="false">K16-L16</f>
        <v>0</v>
      </c>
      <c r="N16" s="46"/>
      <c r="O16" s="47"/>
      <c r="P16" s="12"/>
      <c r="Q16" s="41"/>
      <c r="R16" s="42"/>
      <c r="S16" s="43"/>
      <c r="T16" s="48" t="n">
        <f aca="false">SUM(S16*90/100)</f>
        <v>0</v>
      </c>
      <c r="U16" s="45"/>
      <c r="V16" s="48" t="n">
        <f aca="false">T16-U16</f>
        <v>0</v>
      </c>
      <c r="W16" s="46"/>
      <c r="X16" s="47"/>
    </row>
    <row r="17" customFormat="false" ht="15.75" hidden="false" customHeight="true" outlineLevel="0" collapsed="false">
      <c r="A17" s="59"/>
      <c r="B17" s="17"/>
      <c r="C17" s="63"/>
      <c r="D17" s="18"/>
      <c r="E17" s="17"/>
      <c r="F17" s="40"/>
      <c r="G17" s="8"/>
      <c r="H17" s="41"/>
      <c r="I17" s="42"/>
      <c r="J17" s="43"/>
      <c r="K17" s="44" t="n">
        <f aca="false">SUM(J17*90/100)</f>
        <v>0</v>
      </c>
      <c r="L17" s="45"/>
      <c r="M17" s="44" t="n">
        <f aca="false">K17-L17</f>
        <v>0</v>
      </c>
      <c r="N17" s="46"/>
      <c r="O17" s="47"/>
      <c r="P17" s="12"/>
      <c r="Q17" s="41"/>
      <c r="R17" s="42"/>
      <c r="S17" s="43"/>
      <c r="T17" s="48" t="n">
        <f aca="false">SUM(S17*90/100)</f>
        <v>0</v>
      </c>
      <c r="U17" s="45"/>
      <c r="V17" s="48" t="n">
        <f aca="false">T17-U17</f>
        <v>0</v>
      </c>
      <c r="W17" s="46"/>
      <c r="X17" s="47"/>
    </row>
    <row r="18" customFormat="false" ht="15.75" hidden="false" customHeight="true" outlineLevel="0" collapsed="false">
      <c r="A18" s="59"/>
      <c r="B18" s="17"/>
      <c r="C18" s="63"/>
      <c r="D18" s="18"/>
      <c r="E18" s="17"/>
      <c r="F18" s="40"/>
      <c r="G18" s="8"/>
      <c r="H18" s="41"/>
      <c r="I18" s="42"/>
      <c r="J18" s="43"/>
      <c r="K18" s="44" t="n">
        <f aca="false">SUM(J18*90/100)</f>
        <v>0</v>
      </c>
      <c r="L18" s="45"/>
      <c r="M18" s="44" t="n">
        <f aca="false">K18-L18</f>
        <v>0</v>
      </c>
      <c r="N18" s="46"/>
      <c r="O18" s="47"/>
      <c r="P18" s="12"/>
      <c r="Q18" s="41"/>
      <c r="R18" s="42"/>
      <c r="S18" s="43"/>
      <c r="T18" s="48" t="n">
        <f aca="false">SUM(S18*90/100)</f>
        <v>0</v>
      </c>
      <c r="U18" s="45"/>
      <c r="V18" s="48" t="n">
        <f aca="false">T18-U18</f>
        <v>0</v>
      </c>
      <c r="W18" s="46"/>
      <c r="X18" s="47"/>
    </row>
    <row r="19" customFormat="false" ht="15.75" hidden="false" customHeight="true" outlineLevel="0" collapsed="false">
      <c r="A19" s="59"/>
      <c r="B19" s="17"/>
      <c r="C19" s="63"/>
      <c r="D19" s="18"/>
      <c r="E19" s="17"/>
      <c r="F19" s="40"/>
      <c r="G19" s="8"/>
      <c r="H19" s="41"/>
      <c r="I19" s="42"/>
      <c r="J19" s="43"/>
      <c r="K19" s="44" t="n">
        <f aca="false">SUM(J19*90/100)</f>
        <v>0</v>
      </c>
      <c r="L19" s="45"/>
      <c r="M19" s="44" t="n">
        <f aca="false">K19-L19</f>
        <v>0</v>
      </c>
      <c r="N19" s="46"/>
      <c r="O19" s="47"/>
      <c r="P19" s="12"/>
      <c r="Q19" s="41"/>
      <c r="R19" s="42"/>
      <c r="S19" s="43"/>
      <c r="T19" s="48" t="n">
        <f aca="false">SUM(S19*90/100)</f>
        <v>0</v>
      </c>
      <c r="U19" s="45"/>
      <c r="V19" s="48" t="n">
        <f aca="false">T19-U19</f>
        <v>0</v>
      </c>
      <c r="W19" s="46"/>
      <c r="X19" s="47"/>
    </row>
    <row r="20" customFormat="false" ht="15.75" hidden="false" customHeight="true" outlineLevel="0" collapsed="false">
      <c r="A20" s="59"/>
      <c r="B20" s="17"/>
      <c r="C20" s="63"/>
      <c r="D20" s="18"/>
      <c r="E20" s="17"/>
      <c r="F20" s="40"/>
      <c r="G20" s="8"/>
      <c r="H20" s="41"/>
      <c r="I20" s="42"/>
      <c r="J20" s="43"/>
      <c r="K20" s="44" t="n">
        <f aca="false">SUM(J20*90/100)</f>
        <v>0</v>
      </c>
      <c r="L20" s="45"/>
      <c r="M20" s="44" t="n">
        <f aca="false">K20-L20</f>
        <v>0</v>
      </c>
      <c r="N20" s="46"/>
      <c r="O20" s="47"/>
      <c r="P20" s="12"/>
      <c r="Q20" s="41"/>
      <c r="R20" s="42"/>
      <c r="S20" s="43"/>
      <c r="T20" s="48" t="n">
        <f aca="false">SUM(S20*90/100)</f>
        <v>0</v>
      </c>
      <c r="U20" s="45"/>
      <c r="V20" s="48" t="n">
        <f aca="false">T20-U20</f>
        <v>0</v>
      </c>
      <c r="W20" s="46"/>
      <c r="X20" s="47"/>
    </row>
    <row r="21" customFormat="false" ht="15.75" hidden="false" customHeight="true" outlineLevel="0" collapsed="false">
      <c r="A21" s="64" t="s">
        <v>21</v>
      </c>
      <c r="B21" s="65" t="n">
        <f aca="false">SUM(B9:B20)</f>
        <v>9840</v>
      </c>
      <c r="C21" s="66"/>
      <c r="D21" s="67" t="s">
        <v>22</v>
      </c>
      <c r="E21" s="68" t="n">
        <f aca="false">F4+F7+E12</f>
        <v>52351</v>
      </c>
      <c r="F21" s="69"/>
      <c r="G21" s="8"/>
      <c r="H21" s="70"/>
      <c r="I21" s="71"/>
      <c r="J21" s="72" t="n">
        <f aca="false">SUM(J5:J20)</f>
        <v>0</v>
      </c>
      <c r="K21" s="73" t="n">
        <f aca="false">SUM(K5:K20)</f>
        <v>0</v>
      </c>
      <c r="L21" s="72" t="n">
        <f aca="false">SUM(L5:L20)</f>
        <v>0</v>
      </c>
      <c r="M21" s="74" t="n">
        <f aca="false">K21-L21</f>
        <v>0</v>
      </c>
      <c r="N21" s="75"/>
      <c r="O21" s="76"/>
      <c r="P21" s="12"/>
      <c r="Q21" s="70"/>
      <c r="R21" s="75"/>
      <c r="S21" s="72" t="n">
        <f aca="false">SUM(S5:S20)</f>
        <v>5800</v>
      </c>
      <c r="T21" s="77" t="n">
        <f aca="false">SUM(T5:T20)</f>
        <v>5220</v>
      </c>
      <c r="U21" s="72" t="n">
        <f aca="false">SUM(U5:U20)</f>
        <v>40</v>
      </c>
      <c r="V21" s="78" t="n">
        <f aca="false">T21-U21</f>
        <v>5180</v>
      </c>
      <c r="W21" s="75"/>
      <c r="X21" s="76"/>
    </row>
    <row r="22" customFormat="false" ht="15.75" hidden="false" customHeight="true" outlineLevel="0" collapsed="false">
      <c r="A22" s="8"/>
      <c r="B22" s="79"/>
      <c r="C22" s="80"/>
      <c r="D22" s="81"/>
      <c r="E22" s="79"/>
      <c r="F22" s="8"/>
      <c r="G22" s="8"/>
      <c r="H22" s="24"/>
      <c r="I22" s="82"/>
      <c r="J22" s="24"/>
      <c r="K22" s="23"/>
      <c r="L22" s="12"/>
      <c r="M22" s="24"/>
      <c r="N22" s="24"/>
      <c r="O22" s="12"/>
      <c r="P22" s="12"/>
      <c r="Q22" s="83"/>
      <c r="R22" s="83"/>
      <c r="S22" s="83"/>
      <c r="T22" s="83"/>
      <c r="U22" s="83"/>
      <c r="V22" s="83"/>
      <c r="W22" s="83"/>
      <c r="X22" s="83"/>
    </row>
    <row r="23" customFormat="false" ht="15.75" hidden="false" customHeight="true" outlineLevel="0" collapsed="false">
      <c r="A23" s="8"/>
      <c r="B23" s="84" t="s">
        <v>23</v>
      </c>
      <c r="C23" s="84"/>
      <c r="D23" s="84"/>
      <c r="E23" s="79"/>
      <c r="F23" s="8"/>
      <c r="G23" s="8"/>
      <c r="H23" s="9" t="s">
        <v>24</v>
      </c>
      <c r="I23" s="9"/>
      <c r="J23" s="9"/>
      <c r="K23" s="10"/>
      <c r="L23" s="11" t="s">
        <v>5</v>
      </c>
      <c r="M23" s="11"/>
      <c r="N23" s="11"/>
      <c r="O23" s="11"/>
      <c r="P23" s="12"/>
      <c r="Q23" s="13" t="s">
        <v>25</v>
      </c>
      <c r="R23" s="13"/>
      <c r="S23" s="13"/>
      <c r="T23" s="85"/>
      <c r="U23" s="11" t="s">
        <v>5</v>
      </c>
      <c r="V23" s="11"/>
      <c r="W23" s="11"/>
      <c r="X23" s="11"/>
    </row>
    <row r="24" customFormat="false" ht="15.75" hidden="false" customHeight="true" outlineLevel="0" collapsed="false">
      <c r="A24" s="8"/>
      <c r="B24" s="84"/>
      <c r="C24" s="84"/>
      <c r="D24" s="84"/>
      <c r="E24" s="79"/>
      <c r="F24" s="8"/>
      <c r="G24" s="8"/>
      <c r="H24" s="20"/>
      <c r="I24" s="21"/>
      <c r="J24" s="22"/>
      <c r="K24" s="23"/>
      <c r="L24" s="12"/>
      <c r="M24" s="24"/>
      <c r="N24" s="24"/>
      <c r="O24" s="25"/>
      <c r="P24" s="12"/>
      <c r="Q24" s="20"/>
      <c r="R24" s="22"/>
      <c r="S24" s="22"/>
      <c r="T24" s="12"/>
      <c r="U24" s="12"/>
      <c r="V24" s="24"/>
      <c r="W24" s="24"/>
      <c r="X24" s="25"/>
    </row>
    <row r="25" customFormat="false" ht="15.75" hidden="false" customHeight="true" outlineLevel="0" collapsed="false">
      <c r="A25" s="8"/>
      <c r="B25" s="84"/>
      <c r="C25" s="84"/>
      <c r="D25" s="84"/>
      <c r="E25" s="79"/>
      <c r="F25" s="8"/>
      <c r="G25" s="8"/>
      <c r="H25" s="86" t="s">
        <v>9</v>
      </c>
      <c r="I25" s="87" t="s">
        <v>10</v>
      </c>
      <c r="J25" s="33" t="s">
        <v>11</v>
      </c>
      <c r="K25" s="87" t="s">
        <v>12</v>
      </c>
      <c r="L25" s="88" t="s">
        <v>13</v>
      </c>
      <c r="M25" s="88" t="s">
        <v>14</v>
      </c>
      <c r="N25" s="88" t="s">
        <v>15</v>
      </c>
      <c r="O25" s="89" t="s">
        <v>16</v>
      </c>
      <c r="P25" s="12"/>
      <c r="Q25" s="86" t="s">
        <v>9</v>
      </c>
      <c r="R25" s="87" t="s">
        <v>10</v>
      </c>
      <c r="S25" s="33" t="s">
        <v>11</v>
      </c>
      <c r="T25" s="87" t="s">
        <v>12</v>
      </c>
      <c r="U25" s="88" t="s">
        <v>13</v>
      </c>
      <c r="V25" s="88" t="s">
        <v>14</v>
      </c>
      <c r="W25" s="88" t="s">
        <v>15</v>
      </c>
      <c r="X25" s="89" t="s">
        <v>16</v>
      </c>
    </row>
    <row r="26" customFormat="false" ht="15.75" hidden="false" customHeight="true" outlineLevel="0" collapsed="false">
      <c r="A26" s="8"/>
      <c r="B26" s="84"/>
      <c r="C26" s="84"/>
      <c r="D26" s="84"/>
      <c r="E26" s="79"/>
      <c r="F26" s="8"/>
      <c r="G26" s="8"/>
      <c r="H26" s="41"/>
      <c r="I26" s="42"/>
      <c r="J26" s="43"/>
      <c r="K26" s="90" t="n">
        <f aca="false">SUM(J26*90/100)</f>
        <v>0</v>
      </c>
      <c r="L26" s="45"/>
      <c r="M26" s="44" t="n">
        <f aca="false">K26-L26</f>
        <v>0</v>
      </c>
      <c r="N26" s="46"/>
      <c r="O26" s="47"/>
      <c r="P26" s="12"/>
      <c r="Q26" s="41" t="n">
        <v>24138</v>
      </c>
      <c r="R26" s="42" t="s">
        <v>70</v>
      </c>
      <c r="S26" s="43" t="n">
        <v>6000</v>
      </c>
      <c r="T26" s="48" t="n">
        <f aca="false">S26*90/100</f>
        <v>5400</v>
      </c>
      <c r="U26" s="45" t="n">
        <v>120</v>
      </c>
      <c r="V26" s="48" t="n">
        <f aca="false">T26-U26</f>
        <v>5280</v>
      </c>
      <c r="W26" s="46" t="s">
        <v>112</v>
      </c>
      <c r="X26" s="47" t="s">
        <v>39</v>
      </c>
    </row>
    <row r="27" customFormat="false" ht="15.75" hidden="false" customHeight="true" outlineLevel="0" collapsed="false">
      <c r="A27" s="8"/>
      <c r="B27" s="84"/>
      <c r="C27" s="84"/>
      <c r="D27" s="84"/>
      <c r="E27" s="79"/>
      <c r="F27" s="8"/>
      <c r="G27" s="8"/>
      <c r="H27" s="41"/>
      <c r="I27" s="42"/>
      <c r="J27" s="43"/>
      <c r="K27" s="90" t="n">
        <f aca="false">SUM(J27*90/100)</f>
        <v>0</v>
      </c>
      <c r="L27" s="45"/>
      <c r="M27" s="44" t="n">
        <f aca="false">K27-L27</f>
        <v>0</v>
      </c>
      <c r="N27" s="46"/>
      <c r="O27" s="47"/>
      <c r="P27" s="12"/>
      <c r="Q27" s="41" t="n">
        <v>24139</v>
      </c>
      <c r="R27" s="42" t="s">
        <v>197</v>
      </c>
      <c r="S27" s="43" t="n">
        <v>3300</v>
      </c>
      <c r="T27" s="48" t="n">
        <f aca="false">S27*90/100</f>
        <v>2970</v>
      </c>
      <c r="U27" s="45" t="n">
        <v>66</v>
      </c>
      <c r="V27" s="48" t="n">
        <f aca="false">T27-U27</f>
        <v>2904</v>
      </c>
      <c r="W27" s="46" t="s">
        <v>112</v>
      </c>
      <c r="X27" s="47" t="s">
        <v>96</v>
      </c>
    </row>
    <row r="28" customFormat="false" ht="15.75" hidden="false" customHeight="true" outlineLevel="0" collapsed="false">
      <c r="A28" s="8"/>
      <c r="B28" s="91" t="n">
        <f aca="false">E21-B7-B21-M21-M36-V21-V36</f>
        <v>19995</v>
      </c>
      <c r="C28" s="91"/>
      <c r="D28" s="91"/>
      <c r="E28" s="79"/>
      <c r="F28" s="8"/>
      <c r="G28" s="8"/>
      <c r="H28" s="41"/>
      <c r="I28" s="42"/>
      <c r="J28" s="43"/>
      <c r="K28" s="90" t="n">
        <f aca="false">SUM(J28*90/100)</f>
        <v>0</v>
      </c>
      <c r="L28" s="45"/>
      <c r="M28" s="44" t="n">
        <f aca="false">K28-L28</f>
        <v>0</v>
      </c>
      <c r="N28" s="46"/>
      <c r="O28" s="47"/>
      <c r="P28" s="12"/>
      <c r="Q28" s="41"/>
      <c r="R28" s="42"/>
      <c r="S28" s="43"/>
      <c r="T28" s="48" t="n">
        <f aca="false">S28*90/100</f>
        <v>0</v>
      </c>
      <c r="U28" s="45"/>
      <c r="V28" s="48" t="n">
        <f aca="false">T28-U28</f>
        <v>0</v>
      </c>
      <c r="W28" s="46"/>
      <c r="X28" s="47"/>
    </row>
    <row r="29" customFormat="false" ht="15.75" hidden="false" customHeight="true" outlineLevel="0" collapsed="false">
      <c r="A29" s="8"/>
      <c r="B29" s="91"/>
      <c r="C29" s="91"/>
      <c r="D29" s="91"/>
      <c r="E29" s="79"/>
      <c r="F29" s="8"/>
      <c r="G29" s="8"/>
      <c r="H29" s="41"/>
      <c r="I29" s="42"/>
      <c r="J29" s="43"/>
      <c r="K29" s="90" t="n">
        <f aca="false">SUM(J29*90/100)</f>
        <v>0</v>
      </c>
      <c r="L29" s="45"/>
      <c r="M29" s="44" t="n">
        <f aca="false">K29-L29</f>
        <v>0</v>
      </c>
      <c r="N29" s="46"/>
      <c r="O29" s="47"/>
      <c r="P29" s="12"/>
      <c r="Q29" s="41"/>
      <c r="R29" s="42"/>
      <c r="S29" s="43"/>
      <c r="T29" s="48" t="n">
        <f aca="false">S29*90/100</f>
        <v>0</v>
      </c>
      <c r="U29" s="45"/>
      <c r="V29" s="48" t="n">
        <f aca="false">T29-U29</f>
        <v>0</v>
      </c>
      <c r="W29" s="46"/>
      <c r="X29" s="47"/>
    </row>
    <row r="30" customFormat="false" ht="15.75" hidden="false" customHeight="true" outlineLevel="0" collapsed="false">
      <c r="A30" s="8"/>
      <c r="B30" s="91"/>
      <c r="C30" s="91"/>
      <c r="D30" s="91"/>
      <c r="E30" s="79"/>
      <c r="F30" s="8"/>
      <c r="G30" s="8"/>
      <c r="H30" s="41"/>
      <c r="I30" s="42"/>
      <c r="J30" s="43"/>
      <c r="K30" s="90" t="n">
        <f aca="false">SUM(J30*90/100)</f>
        <v>0</v>
      </c>
      <c r="L30" s="45"/>
      <c r="M30" s="44" t="n">
        <f aca="false">K30-L30</f>
        <v>0</v>
      </c>
      <c r="N30" s="46"/>
      <c r="O30" s="47"/>
      <c r="P30" s="12"/>
      <c r="Q30" s="41"/>
      <c r="R30" s="42"/>
      <c r="S30" s="43"/>
      <c r="T30" s="48" t="n">
        <f aca="false">S30*90/100</f>
        <v>0</v>
      </c>
      <c r="U30" s="45"/>
      <c r="V30" s="48" t="n">
        <f aca="false">T30-U30</f>
        <v>0</v>
      </c>
      <c r="W30" s="46"/>
      <c r="X30" s="47"/>
    </row>
    <row r="31" customFormat="false" ht="15.75" hidden="false" customHeight="true" outlineLevel="0" collapsed="false">
      <c r="A31" s="8"/>
      <c r="B31" s="91"/>
      <c r="C31" s="91"/>
      <c r="D31" s="91"/>
      <c r="E31" s="79"/>
      <c r="F31" s="8"/>
      <c r="G31" s="8"/>
      <c r="H31" s="41"/>
      <c r="I31" s="42"/>
      <c r="J31" s="43"/>
      <c r="K31" s="90" t="n">
        <f aca="false">SUM(J31*90/100)</f>
        <v>0</v>
      </c>
      <c r="L31" s="45"/>
      <c r="M31" s="44" t="n">
        <f aca="false">K31-L31</f>
        <v>0</v>
      </c>
      <c r="N31" s="46"/>
      <c r="O31" s="47"/>
      <c r="P31" s="12"/>
      <c r="Q31" s="41"/>
      <c r="R31" s="42"/>
      <c r="S31" s="43"/>
      <c r="T31" s="48" t="n">
        <f aca="false">S31*90/100</f>
        <v>0</v>
      </c>
      <c r="U31" s="45"/>
      <c r="V31" s="48" t="n">
        <f aca="false">T31-U31</f>
        <v>0</v>
      </c>
      <c r="W31" s="46"/>
      <c r="X31" s="47"/>
    </row>
    <row r="32" customFormat="false" ht="15.75" hidden="false" customHeight="true" outlineLevel="0" collapsed="false">
      <c r="A32" s="1"/>
      <c r="B32" s="91"/>
      <c r="C32" s="91"/>
      <c r="D32" s="91"/>
      <c r="E32" s="1"/>
      <c r="F32" s="8"/>
      <c r="G32" s="8"/>
      <c r="H32" s="41"/>
      <c r="I32" s="42"/>
      <c r="J32" s="43"/>
      <c r="K32" s="90" t="n">
        <f aca="false">SUM(J32*90/100)</f>
        <v>0</v>
      </c>
      <c r="L32" s="45"/>
      <c r="M32" s="44" t="n">
        <f aca="false">K32-L32</f>
        <v>0</v>
      </c>
      <c r="N32" s="46"/>
      <c r="O32" s="47"/>
      <c r="P32" s="12"/>
      <c r="Q32" s="41"/>
      <c r="R32" s="42"/>
      <c r="S32" s="43"/>
      <c r="T32" s="48" t="n">
        <f aca="false">S32*90/100</f>
        <v>0</v>
      </c>
      <c r="U32" s="45"/>
      <c r="V32" s="48" t="n">
        <f aca="false">T32-U32</f>
        <v>0</v>
      </c>
      <c r="W32" s="46"/>
      <c r="X32" s="47"/>
    </row>
    <row r="33" customFormat="false" ht="15.75" hidden="false" customHeight="true" outlineLevel="0" collapsed="false">
      <c r="A33" s="1"/>
      <c r="B33" s="1"/>
      <c r="C33" s="1"/>
      <c r="D33" s="1"/>
      <c r="E33" s="1"/>
      <c r="F33" s="8"/>
      <c r="G33" s="8"/>
      <c r="H33" s="41"/>
      <c r="I33" s="42"/>
      <c r="J33" s="43"/>
      <c r="K33" s="90" t="n">
        <f aca="false">SUM(J33*90/100)</f>
        <v>0</v>
      </c>
      <c r="L33" s="45"/>
      <c r="M33" s="44" t="n">
        <f aca="false">K33-L33</f>
        <v>0</v>
      </c>
      <c r="N33" s="46"/>
      <c r="O33" s="47"/>
      <c r="P33" s="12"/>
      <c r="Q33" s="41"/>
      <c r="R33" s="42"/>
      <c r="S33" s="43"/>
      <c r="T33" s="48" t="n">
        <f aca="false">S33*90/100</f>
        <v>0</v>
      </c>
      <c r="U33" s="45"/>
      <c r="V33" s="48" t="n">
        <f aca="false">T33-U33</f>
        <v>0</v>
      </c>
      <c r="W33" s="46"/>
      <c r="X33" s="47"/>
    </row>
    <row r="34" customFormat="false" ht="14.25" hidden="false" customHeight="true" outlineLevel="0" collapsed="false">
      <c r="A34" s="92" t="s">
        <v>27</v>
      </c>
      <c r="B34" s="92"/>
      <c r="C34" s="92"/>
      <c r="D34" s="1"/>
      <c r="E34" s="1"/>
      <c r="F34" s="8"/>
      <c r="G34" s="8"/>
      <c r="H34" s="41"/>
      <c r="I34" s="42"/>
      <c r="J34" s="43"/>
      <c r="K34" s="90" t="n">
        <f aca="false">SUM(J34*90/100)</f>
        <v>0</v>
      </c>
      <c r="L34" s="45"/>
      <c r="M34" s="44" t="n">
        <f aca="false">K34-L34</f>
        <v>0</v>
      </c>
      <c r="N34" s="46"/>
      <c r="O34" s="47"/>
      <c r="P34" s="12"/>
      <c r="Q34" s="41"/>
      <c r="R34" s="42"/>
      <c r="S34" s="43"/>
      <c r="T34" s="48" t="n">
        <f aca="false">S34*90/100</f>
        <v>0</v>
      </c>
      <c r="U34" s="45"/>
      <c r="V34" s="48" t="n">
        <f aca="false">T34-U34</f>
        <v>0</v>
      </c>
      <c r="W34" s="46"/>
      <c r="X34" s="47"/>
    </row>
    <row r="35" customFormat="false" ht="18" hidden="false" customHeight="true" outlineLevel="0" collapsed="false">
      <c r="A35" s="93"/>
      <c r="B35" s="93"/>
      <c r="C35" s="93"/>
      <c r="D35" s="1"/>
      <c r="E35" s="1"/>
      <c r="F35" s="8"/>
      <c r="G35" s="8"/>
      <c r="H35" s="41"/>
      <c r="I35" s="42"/>
      <c r="J35" s="43"/>
      <c r="K35" s="90" t="n">
        <f aca="false">SUM(J35*90/100)</f>
        <v>0</v>
      </c>
      <c r="L35" s="45"/>
      <c r="M35" s="44" t="n">
        <f aca="false">K35-L35</f>
        <v>0</v>
      </c>
      <c r="N35" s="46"/>
      <c r="O35" s="47"/>
      <c r="P35" s="12"/>
      <c r="Q35" s="41"/>
      <c r="R35" s="42"/>
      <c r="S35" s="43"/>
      <c r="T35" s="48" t="n">
        <f aca="false">S35*90/100</f>
        <v>0</v>
      </c>
      <c r="U35" s="45"/>
      <c r="V35" s="48" t="n">
        <f aca="false">T35-U35</f>
        <v>0</v>
      </c>
      <c r="W35" s="46"/>
      <c r="X35" s="47"/>
    </row>
    <row r="36" customFormat="false" ht="24" hidden="false" customHeight="true" outlineLevel="0" collapsed="false">
      <c r="A36" s="92" t="s">
        <v>28</v>
      </c>
      <c r="B36" s="92"/>
      <c r="C36" s="94" t="n">
        <v>9057</v>
      </c>
      <c r="D36" s="1"/>
      <c r="E36" s="1"/>
      <c r="F36" s="8"/>
      <c r="G36" s="8"/>
      <c r="H36" s="70"/>
      <c r="I36" s="71"/>
      <c r="J36" s="72" t="n">
        <f aca="false">SUM(J26:J35)</f>
        <v>0</v>
      </c>
      <c r="K36" s="95" t="n">
        <f aca="false">SUM(J36*90/100)</f>
        <v>0</v>
      </c>
      <c r="L36" s="72" t="n">
        <f aca="false">SUM(L26:L35)</f>
        <v>0</v>
      </c>
      <c r="M36" s="74" t="n">
        <f aca="false">K36-L36</f>
        <v>0</v>
      </c>
      <c r="N36" s="75"/>
      <c r="O36" s="76"/>
      <c r="P36" s="12"/>
      <c r="Q36" s="70"/>
      <c r="R36" s="75"/>
      <c r="S36" s="72" t="n">
        <f aca="false">SUM(S26:S35)</f>
        <v>9300</v>
      </c>
      <c r="T36" s="77" t="n">
        <f aca="false">SUM(T26:T35)</f>
        <v>8370</v>
      </c>
      <c r="U36" s="72" t="n">
        <f aca="false">SUM(U26:U35)</f>
        <v>186</v>
      </c>
      <c r="V36" s="78" t="n">
        <f aca="false">T36-U36</f>
        <v>8184</v>
      </c>
      <c r="W36" s="75"/>
      <c r="X36" s="76"/>
    </row>
    <row r="37" customFormat="false" ht="7.5" hidden="false" customHeight="true" outlineLevel="0" collapsed="false">
      <c r="A37" s="1"/>
      <c r="B37" s="1"/>
      <c r="C37" s="8"/>
      <c r="D37" s="1"/>
      <c r="E37" s="1"/>
      <c r="F37" s="8"/>
      <c r="G37" s="8"/>
      <c r="H37" s="79"/>
      <c r="I37" s="96"/>
      <c r="J37" s="79"/>
      <c r="K37" s="97"/>
      <c r="L37" s="8"/>
      <c r="M37" s="79"/>
      <c r="N37" s="79"/>
      <c r="O37" s="8"/>
      <c r="P37" s="8"/>
      <c r="Q37" s="1"/>
      <c r="R37" s="1"/>
      <c r="S37" s="1"/>
      <c r="T37" s="1"/>
      <c r="U37" s="1"/>
      <c r="V37" s="1"/>
      <c r="W37" s="1"/>
      <c r="X37" s="1"/>
    </row>
    <row r="38" customFormat="false" ht="1.5" hidden="false" customHeight="true" outlineLevel="0" collapsed="false">
      <c r="A38" s="1"/>
      <c r="B38" s="1"/>
      <c r="C38" s="8"/>
      <c r="D38" s="1"/>
      <c r="E38" s="1"/>
      <c r="F38" s="8"/>
      <c r="G38" s="8"/>
      <c r="H38" s="79"/>
      <c r="I38" s="96"/>
      <c r="J38" s="79"/>
      <c r="K38" s="97"/>
      <c r="L38" s="8"/>
      <c r="M38" s="79"/>
      <c r="N38" s="79"/>
      <c r="O38" s="8"/>
      <c r="P38" s="8"/>
      <c r="Q38" s="1"/>
      <c r="R38" s="1"/>
      <c r="S38" s="1"/>
      <c r="T38" s="93"/>
      <c r="U38" s="93"/>
      <c r="V38" s="1"/>
      <c r="W38" s="1"/>
      <c r="X38" s="1"/>
    </row>
    <row r="39" customFormat="false" ht="24" hidden="false" customHeight="true" outlineLevel="0" collapsed="false">
      <c r="A39" s="98" t="s">
        <v>29</v>
      </c>
      <c r="B39" s="98"/>
      <c r="C39" s="99" t="n">
        <f aca="false">SUM(C36+D59-E59+G59-H59+K59-L59)</f>
        <v>9152</v>
      </c>
      <c r="D39" s="100" t="s">
        <v>30</v>
      </c>
      <c r="E39" s="101" t="s">
        <v>31</v>
      </c>
      <c r="F39" s="102" t="s">
        <v>32</v>
      </c>
      <c r="G39" s="101" t="s">
        <v>30</v>
      </c>
      <c r="H39" s="101" t="s">
        <v>33</v>
      </c>
      <c r="I39" s="103" t="s">
        <v>32</v>
      </c>
      <c r="J39" s="104"/>
      <c r="K39" s="101" t="s">
        <v>30</v>
      </c>
      <c r="L39" s="101" t="s">
        <v>33</v>
      </c>
      <c r="M39" s="105" t="s">
        <v>32</v>
      </c>
      <c r="N39" s="106"/>
      <c r="O39" s="1"/>
      <c r="P39" s="8"/>
      <c r="Q39" s="1"/>
      <c r="R39" s="1"/>
      <c r="S39" s="93"/>
      <c r="T39" s="93"/>
      <c r="U39" s="93"/>
      <c r="V39" s="1"/>
      <c r="W39" s="1"/>
      <c r="X39" s="1"/>
    </row>
    <row r="40" customFormat="false" ht="15.75" hidden="false" customHeight="true" outlineLevel="0" collapsed="false">
      <c r="A40" s="98"/>
      <c r="B40" s="98"/>
      <c r="C40" s="99"/>
      <c r="D40" s="101"/>
      <c r="E40" s="101" t="n">
        <v>1000</v>
      </c>
      <c r="F40" s="107" t="s">
        <v>39</v>
      </c>
      <c r="G40" s="101"/>
      <c r="H40" s="108"/>
      <c r="I40" s="100"/>
      <c r="J40" s="109"/>
      <c r="K40" s="110"/>
      <c r="L40" s="101"/>
      <c r="M40" s="100"/>
      <c r="N40" s="100"/>
      <c r="O40" s="1"/>
      <c r="P40" s="8"/>
      <c r="Q40" s="1"/>
      <c r="R40" s="1"/>
      <c r="S40" s="93"/>
      <c r="T40" s="93"/>
      <c r="U40" s="1"/>
      <c r="V40" s="1"/>
      <c r="W40" s="1"/>
      <c r="X40" s="1"/>
    </row>
    <row r="41" customFormat="false" ht="15.75" hidden="false" customHeight="true" outlineLevel="0" collapsed="false">
      <c r="A41" s="98"/>
      <c r="B41" s="98"/>
      <c r="C41" s="99"/>
      <c r="D41" s="101"/>
      <c r="E41" s="101" t="n">
        <v>355</v>
      </c>
      <c r="F41" s="107" t="s">
        <v>52</v>
      </c>
      <c r="G41" s="101"/>
      <c r="H41" s="108"/>
      <c r="I41" s="100"/>
      <c r="J41" s="109"/>
      <c r="K41" s="110"/>
      <c r="L41" s="101"/>
      <c r="M41" s="100"/>
      <c r="N41" s="100"/>
      <c r="O41" s="1"/>
      <c r="P41" s="8"/>
      <c r="Q41" s="1"/>
      <c r="R41" s="1"/>
      <c r="S41" s="1"/>
      <c r="T41" s="1"/>
      <c r="U41" s="1"/>
      <c r="V41" s="1"/>
      <c r="W41" s="1"/>
      <c r="X41" s="1"/>
    </row>
    <row r="42" customFormat="false" ht="15.75" hidden="false" customHeight="true" outlineLevel="0" collapsed="false">
      <c r="A42" s="98"/>
      <c r="B42" s="98"/>
      <c r="C42" s="99"/>
      <c r="D42" s="101" t="n">
        <v>150</v>
      </c>
      <c r="E42" s="101"/>
      <c r="F42" s="107" t="s">
        <v>111</v>
      </c>
      <c r="G42" s="101"/>
      <c r="H42" s="108"/>
      <c r="I42" s="100"/>
      <c r="J42" s="109"/>
      <c r="K42" s="110"/>
      <c r="L42" s="101"/>
      <c r="M42" s="100"/>
      <c r="N42" s="100"/>
      <c r="O42" s="1"/>
      <c r="P42" s="8"/>
      <c r="Q42" s="1"/>
      <c r="R42" s="1"/>
      <c r="S42" s="111" t="s">
        <v>34</v>
      </c>
      <c r="T42" s="111" t="s">
        <v>35</v>
      </c>
      <c r="U42" s="112" t="n">
        <f aca="false">SUM(L21+U21+L36+U36)</f>
        <v>226</v>
      </c>
      <c r="V42" s="111"/>
      <c r="W42" s="111"/>
      <c r="X42" s="111"/>
    </row>
    <row r="43" customFormat="false" ht="15.75" hidden="false" customHeight="true" outlineLevel="0" collapsed="false">
      <c r="A43" s="98"/>
      <c r="B43" s="98"/>
      <c r="C43" s="99"/>
      <c r="D43" s="101"/>
      <c r="E43" s="101" t="n">
        <v>18</v>
      </c>
      <c r="F43" s="107" t="s">
        <v>204</v>
      </c>
      <c r="G43" s="101"/>
      <c r="H43" s="108"/>
      <c r="I43" s="100"/>
      <c r="J43" s="109"/>
      <c r="K43" s="110"/>
      <c r="L43" s="101"/>
      <c r="M43" s="100"/>
      <c r="N43" s="100"/>
      <c r="O43" s="1"/>
      <c r="P43" s="8"/>
      <c r="Q43" s="1"/>
      <c r="R43" s="1"/>
      <c r="S43" s="111" t="s">
        <v>36</v>
      </c>
      <c r="T43" s="111" t="s">
        <v>35</v>
      </c>
      <c r="U43" s="111"/>
      <c r="V43" s="111"/>
      <c r="W43" s="111"/>
      <c r="X43" s="111"/>
    </row>
    <row r="44" customFormat="false" ht="15.75" hidden="false" customHeight="true" outlineLevel="0" collapsed="false">
      <c r="A44" s="98"/>
      <c r="B44" s="98"/>
      <c r="C44" s="99"/>
      <c r="D44" s="101"/>
      <c r="E44" s="101" t="n">
        <v>980</v>
      </c>
      <c r="F44" s="107" t="s">
        <v>197</v>
      </c>
      <c r="G44" s="101"/>
      <c r="H44" s="108"/>
      <c r="I44" s="100"/>
      <c r="J44" s="109"/>
      <c r="K44" s="110"/>
      <c r="M44" s="100"/>
      <c r="N44" s="100"/>
      <c r="O44" s="1"/>
      <c r="P44" s="8"/>
      <c r="Q44" s="1"/>
      <c r="R44" s="1"/>
      <c r="S44" s="111"/>
      <c r="T44" s="111"/>
      <c r="U44" s="111"/>
      <c r="V44" s="111"/>
      <c r="W44" s="111"/>
      <c r="X44" s="111"/>
    </row>
    <row r="45" customFormat="false" ht="15.75" hidden="false" customHeight="true" outlineLevel="0" collapsed="false">
      <c r="A45" s="98"/>
      <c r="B45" s="98"/>
      <c r="C45" s="99"/>
      <c r="D45" s="101" t="n">
        <v>490</v>
      </c>
      <c r="E45" s="101"/>
      <c r="F45" s="107" t="s">
        <v>205</v>
      </c>
      <c r="G45" s="101"/>
      <c r="H45" s="108"/>
      <c r="I45" s="113"/>
      <c r="J45" s="114"/>
      <c r="K45" s="110"/>
      <c r="L45" s="101"/>
      <c r="M45" s="100"/>
      <c r="N45" s="100"/>
      <c r="O45" s="1"/>
      <c r="P45" s="8"/>
      <c r="Q45" s="1"/>
      <c r="R45" s="1"/>
      <c r="S45" s="111"/>
      <c r="T45" s="111"/>
      <c r="U45" s="111"/>
      <c r="V45" s="111"/>
      <c r="W45" s="111"/>
      <c r="X45" s="111"/>
    </row>
    <row r="46" customFormat="false" ht="15.75" hidden="false" customHeight="true" outlineLevel="0" collapsed="false">
      <c r="A46" s="98"/>
      <c r="B46" s="98"/>
      <c r="C46" s="99"/>
      <c r="D46" s="101" t="n">
        <v>1370</v>
      </c>
      <c r="E46" s="101"/>
      <c r="F46" s="107" t="s">
        <v>200</v>
      </c>
      <c r="G46" s="101"/>
      <c r="H46" s="108"/>
      <c r="I46" s="100"/>
      <c r="J46" s="109"/>
      <c r="K46" s="110"/>
      <c r="L46" s="101"/>
      <c r="M46" s="100"/>
      <c r="N46" s="100"/>
      <c r="O46" s="1"/>
      <c r="P46" s="8"/>
      <c r="Q46" s="1"/>
      <c r="R46" s="1"/>
      <c r="S46" s="111"/>
      <c r="T46" s="111"/>
      <c r="U46" s="111"/>
      <c r="V46" s="111"/>
      <c r="W46" s="111"/>
      <c r="X46" s="111"/>
    </row>
    <row r="47" customFormat="false" ht="15.75" hidden="false" customHeight="true" outlineLevel="0" collapsed="false">
      <c r="A47" s="98"/>
      <c r="B47" s="98"/>
      <c r="C47" s="99"/>
      <c r="D47" s="101" t="n">
        <v>680</v>
      </c>
      <c r="E47" s="101"/>
      <c r="F47" s="107" t="s">
        <v>180</v>
      </c>
      <c r="G47" s="101"/>
      <c r="H47" s="108"/>
      <c r="I47" s="100"/>
      <c r="J47" s="109"/>
      <c r="K47" s="110"/>
      <c r="L47" s="101"/>
      <c r="M47" s="115"/>
      <c r="N47" s="115"/>
      <c r="O47" s="1"/>
      <c r="P47" s="8"/>
      <c r="Q47" s="1"/>
      <c r="R47" s="1"/>
      <c r="S47" s="111" t="s">
        <v>37</v>
      </c>
      <c r="T47" s="111"/>
      <c r="U47" s="111"/>
      <c r="V47" s="111"/>
      <c r="W47" s="111" t="s">
        <v>38</v>
      </c>
      <c r="X47" s="111"/>
    </row>
    <row r="48" customFormat="false" ht="22.5" hidden="false" customHeight="true" outlineLevel="0" collapsed="false">
      <c r="A48" s="98"/>
      <c r="B48" s="98"/>
      <c r="C48" s="99"/>
      <c r="D48" s="101"/>
      <c r="E48" s="101" t="n">
        <v>372</v>
      </c>
      <c r="F48" s="107" t="s">
        <v>206</v>
      </c>
      <c r="G48" s="101"/>
      <c r="H48" s="108"/>
      <c r="I48" s="116"/>
      <c r="J48" s="114"/>
      <c r="K48" s="110"/>
      <c r="L48" s="108"/>
      <c r="M48" s="100"/>
      <c r="N48" s="100"/>
      <c r="O48" s="1"/>
      <c r="P48" s="8"/>
      <c r="Q48" s="1"/>
      <c r="R48" s="1"/>
      <c r="S48" s="1"/>
      <c r="T48" s="1"/>
      <c r="U48" s="18" t="s">
        <v>39</v>
      </c>
      <c r="V48" s="93"/>
      <c r="W48" s="93"/>
      <c r="X48" s="1"/>
    </row>
    <row r="49" customFormat="false" ht="15.75" hidden="false" customHeight="true" outlineLevel="0" collapsed="false">
      <c r="A49" s="98"/>
      <c r="B49" s="98"/>
      <c r="C49" s="99"/>
      <c r="D49" s="101" t="n">
        <v>50</v>
      </c>
      <c r="E49" s="101"/>
      <c r="F49" s="117" t="s">
        <v>207</v>
      </c>
      <c r="G49" s="101"/>
      <c r="H49" s="108"/>
      <c r="I49" s="100"/>
      <c r="J49" s="100"/>
      <c r="K49" s="110"/>
      <c r="L49" s="108"/>
      <c r="M49" s="100"/>
      <c r="N49" s="100"/>
      <c r="O49" s="1"/>
      <c r="P49" s="8"/>
      <c r="Q49" s="1"/>
      <c r="R49" s="1"/>
      <c r="S49" s="1"/>
      <c r="T49" s="1"/>
      <c r="U49" s="93"/>
      <c r="V49" s="93"/>
      <c r="W49" s="93"/>
      <c r="X49" s="1"/>
    </row>
    <row r="50" customFormat="false" ht="16.5" hidden="false" customHeight="true" outlineLevel="0" collapsed="false">
      <c r="A50" s="98"/>
      <c r="B50" s="98"/>
      <c r="C50" s="99"/>
      <c r="D50" s="101" t="n">
        <v>40</v>
      </c>
      <c r="E50" s="101"/>
      <c r="F50" s="117" t="n">
        <v>800</v>
      </c>
      <c r="G50" s="101"/>
      <c r="H50" s="108"/>
      <c r="I50" s="100"/>
      <c r="J50" s="100"/>
      <c r="K50" s="110"/>
      <c r="L50" s="101"/>
      <c r="M50" s="113"/>
      <c r="N50" s="113"/>
      <c r="O50" s="1"/>
      <c r="P50" s="8"/>
      <c r="Q50" s="1"/>
      <c r="R50" s="1"/>
      <c r="S50" s="1"/>
      <c r="T50" s="1"/>
      <c r="U50" s="93" t="s">
        <v>40</v>
      </c>
      <c r="V50" s="93"/>
      <c r="W50" s="93"/>
      <c r="X50" s="1"/>
    </row>
    <row r="51" customFormat="false" ht="22.5" hidden="false" customHeight="true" outlineLevel="0" collapsed="false">
      <c r="A51" s="98"/>
      <c r="B51" s="98"/>
      <c r="C51" s="99"/>
      <c r="D51" s="101" t="n">
        <v>40</v>
      </c>
      <c r="E51" s="101"/>
      <c r="F51" s="117" t="s">
        <v>208</v>
      </c>
      <c r="G51" s="101"/>
      <c r="H51" s="108"/>
      <c r="I51" s="118"/>
      <c r="J51" s="119"/>
      <c r="K51" s="110"/>
      <c r="L51" s="101"/>
      <c r="M51" s="118"/>
      <c r="N51" s="120"/>
      <c r="O51" s="1"/>
      <c r="P51" s="8"/>
      <c r="Q51" s="1"/>
      <c r="R51" s="1"/>
      <c r="S51" s="1"/>
      <c r="T51" s="1"/>
      <c r="U51" s="1"/>
      <c r="V51" s="1"/>
      <c r="W51" s="1"/>
      <c r="X51" s="1"/>
    </row>
    <row r="52" customFormat="false" ht="15.75" hidden="false" customHeight="true" outlineLevel="0" collapsed="false">
      <c r="A52" s="98"/>
      <c r="B52" s="98"/>
      <c r="C52" s="99"/>
      <c r="D52" s="101"/>
      <c r="E52" s="101"/>
      <c r="F52" s="117"/>
      <c r="G52" s="101"/>
      <c r="H52" s="108"/>
      <c r="I52" s="113"/>
      <c r="J52" s="121"/>
      <c r="K52" s="110"/>
      <c r="L52" s="101"/>
      <c r="M52" s="118"/>
      <c r="N52" s="120"/>
      <c r="O52" s="1"/>
      <c r="P52" s="8"/>
      <c r="Q52" s="1"/>
      <c r="R52" s="1"/>
      <c r="S52" s="1"/>
      <c r="T52" s="1"/>
      <c r="U52" s="1"/>
      <c r="V52" s="1"/>
      <c r="W52" s="1"/>
      <c r="X52" s="1"/>
    </row>
    <row r="53" customFormat="false" ht="15.75" hidden="false" customHeight="true" outlineLevel="0" collapsed="false">
      <c r="A53" s="98"/>
      <c r="B53" s="98"/>
      <c r="C53" s="99"/>
      <c r="D53" s="101"/>
      <c r="E53" s="101"/>
      <c r="F53" s="117"/>
      <c r="G53" s="101"/>
      <c r="H53" s="108"/>
      <c r="I53" s="100"/>
      <c r="J53" s="122"/>
      <c r="K53" s="110"/>
      <c r="L53" s="101"/>
      <c r="M53" s="118"/>
      <c r="N53" s="120"/>
      <c r="O53" s="1"/>
      <c r="P53" s="8"/>
      <c r="Q53" s="1"/>
      <c r="R53" s="1"/>
      <c r="S53" s="1"/>
      <c r="T53" s="1"/>
      <c r="U53" s="1"/>
      <c r="V53" s="1"/>
      <c r="W53" s="1"/>
      <c r="X53" s="1"/>
    </row>
    <row r="54" customFormat="false" ht="15.75" hidden="false" customHeight="true" outlineLevel="0" collapsed="false">
      <c r="A54" s="98"/>
      <c r="B54" s="98"/>
      <c r="C54" s="99"/>
      <c r="D54" s="101"/>
      <c r="E54" s="101"/>
      <c r="F54" s="117"/>
      <c r="G54" s="101"/>
      <c r="H54" s="101"/>
      <c r="I54" s="113"/>
      <c r="J54" s="121"/>
      <c r="K54" s="101"/>
      <c r="L54" s="101"/>
      <c r="M54" s="118"/>
      <c r="N54" s="120"/>
      <c r="O54" s="1"/>
      <c r="P54" s="8"/>
      <c r="Q54" s="1"/>
      <c r="R54" s="1"/>
      <c r="S54" s="1"/>
      <c r="T54" s="1"/>
      <c r="U54" s="1"/>
      <c r="V54" s="1"/>
      <c r="W54" s="1"/>
      <c r="X54" s="1"/>
    </row>
    <row r="55" customFormat="false" ht="15.75" hidden="false" customHeight="true" outlineLevel="0" collapsed="false">
      <c r="A55" s="98"/>
      <c r="B55" s="98"/>
      <c r="C55" s="99"/>
      <c r="D55" s="101"/>
      <c r="E55" s="101"/>
      <c r="F55" s="117"/>
      <c r="G55" s="101"/>
      <c r="H55" s="101"/>
      <c r="I55" s="100"/>
      <c r="J55" s="122"/>
      <c r="K55" s="101"/>
      <c r="L55" s="101"/>
      <c r="M55" s="118"/>
      <c r="N55" s="120"/>
      <c r="O55" s="1"/>
      <c r="P55" s="8"/>
      <c r="Q55" s="1"/>
      <c r="R55" s="1"/>
      <c r="S55" s="1"/>
      <c r="T55" s="1"/>
      <c r="U55" s="1"/>
      <c r="V55" s="1"/>
      <c r="W55" s="1"/>
      <c r="X55" s="1"/>
    </row>
    <row r="56" customFormat="false" ht="15.75" hidden="false" customHeight="true" outlineLevel="0" collapsed="false">
      <c r="A56" s="98"/>
      <c r="B56" s="98"/>
      <c r="C56" s="99"/>
      <c r="D56" s="101"/>
      <c r="E56" s="101"/>
      <c r="F56" s="117"/>
      <c r="G56" s="101"/>
      <c r="H56" s="101"/>
      <c r="I56" s="100"/>
      <c r="J56" s="122"/>
      <c r="K56" s="101"/>
      <c r="L56" s="101"/>
      <c r="M56" s="118"/>
      <c r="N56" s="120"/>
      <c r="O56" s="1"/>
      <c r="P56" s="8"/>
      <c r="Q56" s="1"/>
      <c r="R56" s="1"/>
      <c r="S56" s="1"/>
      <c r="T56" s="1"/>
      <c r="U56" s="1"/>
      <c r="V56" s="1"/>
      <c r="W56" s="1"/>
      <c r="X56" s="1"/>
    </row>
    <row r="57" customFormat="false" ht="15.75" hidden="false" customHeight="true" outlineLevel="0" collapsed="false">
      <c r="A57" s="98"/>
      <c r="B57" s="98"/>
      <c r="C57" s="99"/>
      <c r="D57" s="101"/>
      <c r="E57" s="101"/>
      <c r="F57" s="117"/>
      <c r="G57" s="101"/>
      <c r="H57" s="101"/>
      <c r="I57" s="100"/>
      <c r="J57" s="122"/>
      <c r="K57" s="101"/>
      <c r="L57" s="101"/>
      <c r="M57" s="118"/>
      <c r="N57" s="120"/>
      <c r="O57" s="1"/>
      <c r="P57" s="8"/>
      <c r="Q57" s="1"/>
      <c r="R57" s="1"/>
      <c r="S57" s="1"/>
      <c r="T57" s="1"/>
      <c r="U57" s="1"/>
      <c r="V57" s="1"/>
      <c r="W57" s="1"/>
      <c r="X57" s="1"/>
    </row>
    <row r="58" customFormat="false" ht="15.75" hidden="false" customHeight="true" outlineLevel="0" collapsed="false">
      <c r="A58" s="98"/>
      <c r="B58" s="98"/>
      <c r="C58" s="99"/>
      <c r="D58" s="101"/>
      <c r="E58" s="101"/>
      <c r="F58" s="117"/>
      <c r="G58" s="101"/>
      <c r="H58" s="101"/>
      <c r="I58" s="100"/>
      <c r="J58" s="122"/>
      <c r="K58" s="101"/>
      <c r="L58" s="101"/>
      <c r="M58" s="118"/>
      <c r="N58" s="120"/>
      <c r="O58" s="1"/>
      <c r="P58" s="8"/>
      <c r="Q58" s="1"/>
      <c r="R58" s="1"/>
      <c r="S58" s="1"/>
      <c r="T58" s="1"/>
      <c r="U58" s="1"/>
      <c r="V58" s="1"/>
      <c r="W58" s="1"/>
      <c r="X58" s="1"/>
    </row>
    <row r="59" customFormat="false" ht="15.75" hidden="false" customHeight="true" outlineLevel="0" collapsed="false">
      <c r="A59" s="98"/>
      <c r="B59" s="98"/>
      <c r="C59" s="99"/>
      <c r="D59" s="123" t="n">
        <f aca="false">SUM(D40:D58)</f>
        <v>2820</v>
      </c>
      <c r="E59" s="123" t="n">
        <f aca="false">SUM(E40:E58)</f>
        <v>2725</v>
      </c>
      <c r="F59" s="117"/>
      <c r="G59" s="123" t="n">
        <f aca="false">SUM(G40:G58)</f>
        <v>0</v>
      </c>
      <c r="H59" s="123" t="n">
        <f aca="false">SUM(H40:H58)</f>
        <v>0</v>
      </c>
      <c r="I59" s="100"/>
      <c r="J59" s="100"/>
      <c r="K59" s="101" t="n">
        <f aca="false">SUM(K40:K58)</f>
        <v>0</v>
      </c>
      <c r="L59" s="101" t="n">
        <f aca="false">SUM(L40:L58)</f>
        <v>0</v>
      </c>
      <c r="M59" s="100"/>
      <c r="N59" s="100"/>
      <c r="O59" s="1"/>
      <c r="P59" s="8"/>
      <c r="Q59" s="1"/>
      <c r="R59" s="1"/>
      <c r="S59" s="1"/>
      <c r="T59" s="1"/>
      <c r="U59" s="1"/>
      <c r="V59" s="1"/>
      <c r="W59" s="1"/>
      <c r="X59" s="1"/>
    </row>
    <row r="60" customFormat="false" ht="15.75" hidden="false" customHeight="true" outlineLevel="0" collapsed="false">
      <c r="A60" s="1"/>
      <c r="B60" s="1"/>
      <c r="C60" s="1"/>
      <c r="D60" s="1"/>
      <c r="E60" s="1"/>
      <c r="F60" s="8"/>
      <c r="G60" s="8"/>
      <c r="H60" s="1"/>
      <c r="I60" s="2"/>
      <c r="J60" s="1"/>
      <c r="K60" s="83"/>
      <c r="L60" s="83"/>
      <c r="M60" s="124"/>
      <c r="N60" s="124"/>
      <c r="O60" s="1"/>
      <c r="P60" s="8"/>
      <c r="Q60" s="1"/>
      <c r="R60" s="1"/>
      <c r="S60" s="1"/>
      <c r="T60" s="1"/>
      <c r="U60" s="1"/>
      <c r="V60" s="1"/>
      <c r="W60" s="1"/>
      <c r="X60" s="1"/>
    </row>
    <row r="61" customFormat="false" ht="15.75" hidden="false" customHeight="true" outlineLevel="0" collapsed="false">
      <c r="A61" s="1"/>
      <c r="B61" s="1"/>
      <c r="C61" s="1"/>
      <c r="D61" s="1"/>
      <c r="E61" s="1"/>
      <c r="F61" s="8"/>
      <c r="G61" s="8"/>
      <c r="H61" s="1"/>
      <c r="I61" s="2"/>
      <c r="J61" s="1"/>
      <c r="K61" s="83"/>
      <c r="L61" s="83"/>
      <c r="M61" s="124"/>
      <c r="N61" s="124"/>
      <c r="O61" s="1"/>
      <c r="P61" s="8"/>
      <c r="Q61" s="1"/>
      <c r="R61" s="1"/>
      <c r="S61" s="1"/>
      <c r="T61" s="1"/>
      <c r="U61" s="1"/>
      <c r="V61" s="1"/>
      <c r="W61" s="1"/>
      <c r="X61" s="1"/>
    </row>
    <row r="62" customFormat="false" ht="15.75" hidden="false" customHeight="true" outlineLevel="0" collapsed="false">
      <c r="A62" s="1"/>
      <c r="B62" s="1"/>
      <c r="C62" s="1"/>
      <c r="D62" s="1"/>
      <c r="E62" s="1"/>
      <c r="F62" s="8"/>
      <c r="G62" s="8"/>
      <c r="H62" s="1"/>
      <c r="I62" s="2"/>
      <c r="J62" s="1"/>
      <c r="K62" s="83"/>
      <c r="L62" s="83"/>
      <c r="M62" s="124"/>
      <c r="N62" s="124"/>
      <c r="O62" s="1"/>
      <c r="P62" s="8"/>
      <c r="Q62" s="1"/>
      <c r="R62" s="1"/>
      <c r="S62" s="1"/>
      <c r="T62" s="1"/>
      <c r="U62" s="1"/>
      <c r="V62" s="1"/>
      <c r="W62" s="1"/>
      <c r="X62" s="1"/>
    </row>
    <row r="63" customFormat="false" ht="15.75" hidden="false" customHeight="true" outlineLevel="0" collapsed="false">
      <c r="A63" s="1"/>
      <c r="B63" s="1"/>
      <c r="C63" s="1"/>
      <c r="D63" s="1"/>
      <c r="E63" s="1"/>
      <c r="F63" s="8"/>
      <c r="G63" s="8"/>
      <c r="H63" s="1"/>
      <c r="I63" s="2"/>
      <c r="J63" s="1"/>
      <c r="K63" s="125"/>
      <c r="L63" s="125"/>
      <c r="M63" s="124"/>
      <c r="N63" s="124"/>
      <c r="O63" s="1"/>
      <c r="P63" s="8"/>
      <c r="Q63" s="1"/>
      <c r="R63" s="1"/>
      <c r="S63" s="1"/>
      <c r="T63" s="1"/>
      <c r="U63" s="1"/>
      <c r="V63" s="1"/>
      <c r="W63" s="1"/>
      <c r="X63" s="1"/>
    </row>
    <row r="64" customFormat="false" ht="15.75" hidden="false" customHeight="true" outlineLevel="0" collapsed="false">
      <c r="A64" s="1"/>
      <c r="B64" s="1"/>
      <c r="C64" s="1"/>
      <c r="D64" s="1"/>
      <c r="E64" s="1"/>
      <c r="F64" s="8"/>
      <c r="G64" s="8"/>
      <c r="H64" s="1"/>
      <c r="I64" s="2"/>
      <c r="J64" s="1"/>
      <c r="K64" s="2"/>
      <c r="L64" s="1"/>
      <c r="M64" s="1"/>
      <c r="N64" s="1"/>
      <c r="O64" s="1"/>
      <c r="P64" s="8"/>
      <c r="Q64" s="1"/>
      <c r="R64" s="1"/>
      <c r="S64" s="1"/>
      <c r="T64" s="1"/>
      <c r="U64" s="1"/>
      <c r="V64" s="1"/>
      <c r="W64" s="1"/>
      <c r="X64" s="1"/>
    </row>
    <row r="65" customFormat="false" ht="15.75" hidden="false" customHeight="true" outlineLevel="0" collapsed="false">
      <c r="A65" s="1"/>
      <c r="B65" s="1"/>
      <c r="C65" s="1"/>
      <c r="D65" s="1"/>
      <c r="E65" s="1"/>
      <c r="F65" s="8"/>
      <c r="G65" s="8"/>
      <c r="H65" s="1"/>
      <c r="I65" s="2"/>
      <c r="J65" s="1"/>
      <c r="K65" s="2"/>
      <c r="L65" s="1"/>
      <c r="M65" s="1"/>
      <c r="N65" s="1"/>
      <c r="O65" s="1"/>
      <c r="P65" s="8"/>
      <c r="Q65" s="1"/>
      <c r="R65" s="1"/>
      <c r="S65" s="1"/>
      <c r="T65" s="1"/>
      <c r="U65" s="1"/>
      <c r="V65" s="1"/>
      <c r="W65" s="1"/>
      <c r="X65" s="1"/>
    </row>
    <row r="66" customFormat="false" ht="15.75" hidden="false" customHeight="true" outlineLevel="0" collapsed="false">
      <c r="A66" s="1"/>
      <c r="B66" s="1"/>
      <c r="C66" s="1"/>
      <c r="D66" s="1"/>
      <c r="E66" s="1"/>
      <c r="F66" s="8"/>
      <c r="G66" s="8"/>
      <c r="H66" s="1"/>
      <c r="I66" s="2"/>
      <c r="J66" s="1"/>
      <c r="K66" s="2"/>
      <c r="L66" s="1"/>
      <c r="M66" s="1"/>
      <c r="N66" s="1"/>
      <c r="O66" s="1"/>
      <c r="P66" s="8"/>
      <c r="Q66" s="1"/>
      <c r="R66" s="1"/>
      <c r="S66" s="1"/>
      <c r="T66" s="1"/>
      <c r="U66" s="1"/>
      <c r="V66" s="1"/>
      <c r="W66" s="1"/>
      <c r="X66" s="1"/>
    </row>
    <row r="67" customFormat="false" ht="15.75" hidden="false" customHeight="true" outlineLevel="0" collapsed="false">
      <c r="A67" s="1"/>
      <c r="B67" s="1"/>
      <c r="C67" s="1"/>
      <c r="D67" s="1"/>
      <c r="E67" s="1"/>
      <c r="F67" s="8"/>
      <c r="G67" s="8"/>
      <c r="H67" s="1"/>
      <c r="I67" s="2"/>
      <c r="J67" s="1"/>
      <c r="K67" s="2"/>
      <c r="L67" s="1"/>
      <c r="M67" s="1"/>
      <c r="N67" s="1"/>
      <c r="O67" s="1"/>
      <c r="P67" s="8"/>
      <c r="Q67" s="1"/>
      <c r="R67" s="1"/>
      <c r="S67" s="1"/>
      <c r="T67" s="1"/>
      <c r="U67" s="1"/>
      <c r="V67" s="1"/>
      <c r="W67" s="1"/>
      <c r="X67" s="1"/>
    </row>
    <row r="68" customFormat="false" ht="15.75" hidden="false" customHeight="true" outlineLevel="0" collapsed="false">
      <c r="A68" s="1"/>
      <c r="B68" s="1"/>
      <c r="C68" s="1"/>
      <c r="D68" s="1"/>
      <c r="E68" s="1"/>
      <c r="F68" s="8"/>
      <c r="G68" s="8"/>
      <c r="H68" s="1"/>
      <c r="I68" s="2"/>
      <c r="J68" s="1"/>
      <c r="K68" s="2"/>
      <c r="L68" s="1"/>
      <c r="M68" s="1"/>
      <c r="N68" s="1"/>
      <c r="O68" s="1"/>
      <c r="P68" s="8"/>
      <c r="Q68" s="1"/>
      <c r="R68" s="1"/>
      <c r="S68" s="1"/>
      <c r="T68" s="1"/>
      <c r="U68" s="1"/>
      <c r="V68" s="1"/>
      <c r="W68" s="1"/>
      <c r="X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8"/>
      <c r="G69" s="8"/>
      <c r="H69" s="1"/>
      <c r="I69" s="2"/>
      <c r="J69" s="1"/>
      <c r="K69" s="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customFormat="false" ht="15.75" hidden="false" customHeight="true" outlineLevel="0" collapsed="false">
      <c r="A70" s="1"/>
      <c r="B70" s="1"/>
      <c r="C70" s="1"/>
      <c r="D70" s="1"/>
      <c r="E70" s="1"/>
      <c r="F70" s="8"/>
      <c r="G70" s="8"/>
      <c r="H70" s="1"/>
      <c r="I70" s="2"/>
      <c r="J70" s="1"/>
      <c r="K70" s="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customFormat="false" ht="15.75" hidden="false" customHeight="true" outlineLevel="0" collapsed="false">
      <c r="A71" s="1"/>
      <c r="B71" s="1"/>
      <c r="C71" s="1"/>
      <c r="D71" s="1"/>
      <c r="E71" s="1"/>
      <c r="F71" s="8"/>
      <c r="G71" s="8"/>
      <c r="H71" s="1"/>
      <c r="I71" s="2"/>
      <c r="J71" s="1"/>
      <c r="K71" s="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customFormat="false" ht="15.75" hidden="false" customHeight="true" outlineLevel="0" collapsed="false">
      <c r="A72" s="1"/>
      <c r="B72" s="1"/>
      <c r="C72" s="1"/>
      <c r="D72" s="1"/>
      <c r="E72" s="1"/>
      <c r="F72" s="8"/>
      <c r="G72" s="8"/>
      <c r="H72" s="1"/>
      <c r="I72" s="2"/>
      <c r="J72" s="1"/>
      <c r="K72" s="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customFormat="false" ht="15.75" hidden="false" customHeight="true" outlineLevel="0" collapsed="false">
      <c r="A73" s="1"/>
      <c r="B73" s="1"/>
      <c r="C73" s="1"/>
      <c r="D73" s="1"/>
      <c r="E73" s="1"/>
      <c r="F73" s="8"/>
      <c r="G73" s="8"/>
      <c r="H73" s="1"/>
      <c r="I73" s="2"/>
      <c r="J73" s="1"/>
      <c r="K73" s="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customFormat="false" ht="15.75" hidden="false" customHeight="true" outlineLevel="0" collapsed="false">
      <c r="A74" s="1"/>
      <c r="B74" s="1"/>
      <c r="C74" s="1"/>
      <c r="D74" s="1"/>
      <c r="E74" s="1"/>
      <c r="F74" s="8"/>
      <c r="G74" s="8"/>
      <c r="H74" s="1"/>
      <c r="I74" s="2"/>
      <c r="J74" s="1"/>
      <c r="K74" s="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customFormat="false" ht="15.75" hidden="false" customHeight="true" outlineLevel="0" collapsed="false">
      <c r="A75" s="1"/>
      <c r="B75" s="1"/>
      <c r="C75" s="1"/>
      <c r="D75" s="1"/>
      <c r="E75" s="1"/>
      <c r="F75" s="8"/>
      <c r="G75" s="8"/>
      <c r="H75" s="1"/>
      <c r="I75" s="2"/>
      <c r="J75" s="1"/>
      <c r="K75" s="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customFormat="false" ht="15.75" hidden="false" customHeight="true" outlineLevel="0" collapsed="false">
      <c r="A76" s="1"/>
      <c r="B76" s="1"/>
      <c r="C76" s="1"/>
      <c r="D76" s="1"/>
      <c r="E76" s="1"/>
      <c r="F76" s="8"/>
      <c r="G76" s="8"/>
      <c r="H76" s="1"/>
      <c r="I76" s="2"/>
      <c r="J76" s="1"/>
      <c r="K76" s="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2"/>
      <c r="J77" s="1"/>
      <c r="K77" s="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2"/>
      <c r="J78" s="1"/>
      <c r="K78" s="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2"/>
      <c r="J79" s="1"/>
      <c r="K79" s="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2"/>
      <c r="J80" s="1"/>
      <c r="K80" s="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2"/>
      <c r="J81" s="1"/>
      <c r="K81" s="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2"/>
      <c r="J82" s="1"/>
      <c r="K82" s="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2"/>
      <c r="J83" s="1"/>
      <c r="K83" s="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2"/>
      <c r="J84" s="1"/>
      <c r="K84" s="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2"/>
      <c r="J85" s="1"/>
      <c r="K85" s="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2"/>
      <c r="J86" s="1"/>
      <c r="K86" s="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2"/>
      <c r="J87" s="1"/>
      <c r="K87" s="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2"/>
      <c r="J88" s="1"/>
      <c r="K88" s="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2"/>
      <c r="J89" s="1"/>
      <c r="K89" s="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2"/>
      <c r="J90" s="1"/>
      <c r="K90" s="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2"/>
      <c r="J91" s="1"/>
      <c r="K91" s="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2"/>
      <c r="J92" s="1"/>
      <c r="K92" s="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2"/>
      <c r="J93" s="1"/>
      <c r="K93" s="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2"/>
      <c r="J94" s="1"/>
      <c r="K94" s="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2"/>
      <c r="J95" s="1"/>
      <c r="K95" s="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2"/>
      <c r="J96" s="1"/>
      <c r="K96" s="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2"/>
      <c r="J97" s="1"/>
      <c r="K97" s="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2"/>
      <c r="J98" s="1"/>
      <c r="K98" s="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2"/>
      <c r="J99" s="1"/>
      <c r="K99" s="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2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2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2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2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2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2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2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2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2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2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2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2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2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2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2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2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2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2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2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2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2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2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2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2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2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2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2"/>
      <c r="L252" s="1"/>
      <c r="M252" s="1"/>
      <c r="N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2"/>
      <c r="L253" s="1"/>
      <c r="M253" s="1"/>
      <c r="N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2"/>
      <c r="L254" s="1"/>
      <c r="M254" s="1"/>
      <c r="N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2"/>
      <c r="L255" s="1"/>
      <c r="M255" s="1"/>
      <c r="N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2"/>
      <c r="L256" s="1"/>
      <c r="M256" s="1"/>
      <c r="N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2"/>
      <c r="L257" s="1"/>
      <c r="M257" s="1"/>
      <c r="N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2"/>
      <c r="L258" s="1"/>
      <c r="M258" s="1"/>
      <c r="N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2"/>
      <c r="L259" s="1"/>
      <c r="M259" s="1"/>
      <c r="N259" s="1"/>
    </row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4">
    <mergeCell ref="F2:F3"/>
    <mergeCell ref="H2:J2"/>
    <mergeCell ref="L2:O2"/>
    <mergeCell ref="Q2:S2"/>
    <mergeCell ref="U2:X2"/>
    <mergeCell ref="D3:E3"/>
    <mergeCell ref="B23:D27"/>
    <mergeCell ref="H23:J23"/>
    <mergeCell ref="L23:O23"/>
    <mergeCell ref="Q23:S23"/>
    <mergeCell ref="U23:X23"/>
    <mergeCell ref="B28:D32"/>
    <mergeCell ref="A34:C34"/>
    <mergeCell ref="A36:B36"/>
    <mergeCell ref="A39:B59"/>
    <mergeCell ref="C39:C5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I49:J49"/>
    <mergeCell ref="M49:N49"/>
    <mergeCell ref="I50:J50"/>
    <mergeCell ref="I59:J59"/>
    <mergeCell ref="M59:N59"/>
    <mergeCell ref="M60:N60"/>
    <mergeCell ref="M61:N61"/>
    <mergeCell ref="M62:N62"/>
    <mergeCell ref="M63:N6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sheetData>
    <row r="1" customFormat="false" ht="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  <c r="J1" s="1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15.75" hidden="true" customHeight="true" outlineLevel="0" collapsed="false">
      <c r="A2" s="3" t="s">
        <v>1</v>
      </c>
      <c r="B2" s="4"/>
      <c r="C2" s="5"/>
      <c r="D2" s="5" t="s">
        <v>2</v>
      </c>
      <c r="E2" s="6"/>
      <c r="F2" s="7" t="s">
        <v>3</v>
      </c>
      <c r="G2" s="8"/>
      <c r="H2" s="9" t="s">
        <v>4</v>
      </c>
      <c r="I2" s="9"/>
      <c r="J2" s="9"/>
      <c r="K2" s="10"/>
      <c r="L2" s="11" t="s">
        <v>5</v>
      </c>
      <c r="M2" s="11"/>
      <c r="N2" s="11"/>
      <c r="O2" s="11"/>
      <c r="P2" s="12"/>
      <c r="Q2" s="13" t="s">
        <v>6</v>
      </c>
      <c r="R2" s="13"/>
      <c r="S2" s="13"/>
      <c r="T2" s="14"/>
      <c r="U2" s="15" t="s">
        <v>5</v>
      </c>
      <c r="V2" s="15"/>
      <c r="W2" s="15"/>
      <c r="X2" s="15"/>
    </row>
    <row r="3" customFormat="false" ht="15.75" hidden="false" customHeight="true" outlineLevel="0" collapsed="false">
      <c r="A3" s="16"/>
      <c r="B3" s="17"/>
      <c r="C3" s="18"/>
      <c r="D3" s="19" t="s">
        <v>7</v>
      </c>
      <c r="E3" s="19"/>
      <c r="F3" s="7"/>
      <c r="G3" s="8"/>
      <c r="H3" s="20"/>
      <c r="I3" s="21"/>
      <c r="J3" s="22"/>
      <c r="K3" s="23"/>
      <c r="L3" s="12"/>
      <c r="M3" s="24"/>
      <c r="N3" s="24"/>
      <c r="O3" s="25"/>
      <c r="P3" s="12"/>
      <c r="Q3" s="20"/>
      <c r="R3" s="22"/>
      <c r="S3" s="22"/>
      <c r="T3" s="12"/>
      <c r="U3" s="12"/>
      <c r="V3" s="24"/>
      <c r="W3" s="24"/>
      <c r="X3" s="25"/>
    </row>
    <row r="4" customFormat="false" ht="15.75" hidden="false" customHeight="true" outlineLevel="0" collapsed="false">
      <c r="A4" s="26" t="s">
        <v>8</v>
      </c>
      <c r="B4" s="27"/>
      <c r="C4" s="28"/>
      <c r="D4" s="28"/>
      <c r="E4" s="29"/>
      <c r="F4" s="30" t="n">
        <f aca="false">SUM(B4:E4)</f>
        <v>0</v>
      </c>
      <c r="G4" s="8"/>
      <c r="H4" s="31" t="s">
        <v>9</v>
      </c>
      <c r="I4" s="32" t="s">
        <v>10</v>
      </c>
      <c r="J4" s="33" t="s">
        <v>11</v>
      </c>
      <c r="K4" s="32" t="s">
        <v>12</v>
      </c>
      <c r="L4" s="34" t="s">
        <v>13</v>
      </c>
      <c r="M4" s="34" t="s">
        <v>14</v>
      </c>
      <c r="N4" s="34" t="s">
        <v>15</v>
      </c>
      <c r="O4" s="35" t="s">
        <v>16</v>
      </c>
      <c r="P4" s="12"/>
      <c r="Q4" s="31" t="s">
        <v>9</v>
      </c>
      <c r="R4" s="32" t="s">
        <v>10</v>
      </c>
      <c r="S4" s="33" t="s">
        <v>11</v>
      </c>
      <c r="T4" s="32" t="s">
        <v>12</v>
      </c>
      <c r="U4" s="34" t="s">
        <v>13</v>
      </c>
      <c r="V4" s="34" t="s">
        <v>14</v>
      </c>
      <c r="W4" s="34" t="s">
        <v>15</v>
      </c>
      <c r="X4" s="35" t="s">
        <v>16</v>
      </c>
    </row>
    <row r="5" customFormat="false" ht="15.75" hidden="false" customHeight="true" outlineLevel="0" collapsed="false">
      <c r="A5" s="36"/>
      <c r="B5" s="37"/>
      <c r="C5" s="38"/>
      <c r="D5" s="39" t="n">
        <v>9535</v>
      </c>
      <c r="E5" s="37" t="n">
        <v>1323</v>
      </c>
      <c r="F5" s="40" t="n">
        <v>787</v>
      </c>
      <c r="G5" s="8"/>
      <c r="H5" s="41" t="n">
        <v>23221</v>
      </c>
      <c r="I5" s="42" t="s">
        <v>209</v>
      </c>
      <c r="J5" s="43" t="n">
        <v>500</v>
      </c>
      <c r="K5" s="44" t="n">
        <f aca="false">SUM(J5*90/100)</f>
        <v>450</v>
      </c>
      <c r="L5" s="45" t="n">
        <v>5</v>
      </c>
      <c r="M5" s="44" t="n">
        <f aca="false">K5-L5</f>
        <v>445</v>
      </c>
      <c r="N5" s="46" t="s">
        <v>43</v>
      </c>
      <c r="O5" s="47" t="s">
        <v>117</v>
      </c>
      <c r="P5" s="12"/>
      <c r="Q5" s="41" t="s">
        <v>45</v>
      </c>
      <c r="R5" s="42" t="s">
        <v>46</v>
      </c>
      <c r="S5" s="43" t="n">
        <v>200</v>
      </c>
      <c r="T5" s="48" t="n">
        <f aca="false">SUM(S5*90/100)</f>
        <v>180</v>
      </c>
      <c r="U5" s="45" t="n">
        <v>5</v>
      </c>
      <c r="V5" s="48" t="n">
        <f aca="false">T5-U5</f>
        <v>175</v>
      </c>
      <c r="W5" s="46" t="s">
        <v>47</v>
      </c>
      <c r="X5" s="47" t="s">
        <v>73</v>
      </c>
    </row>
    <row r="6" customFormat="false" ht="15.75" hidden="false" customHeight="true" outlineLevel="0" collapsed="false">
      <c r="A6" s="49"/>
      <c r="B6" s="50"/>
      <c r="C6" s="51"/>
      <c r="D6" s="51"/>
      <c r="E6" s="50" t="n">
        <v>300</v>
      </c>
      <c r="F6" s="52" t="n">
        <v>5000</v>
      </c>
      <c r="G6" s="8"/>
      <c r="H6" s="41"/>
      <c r="I6" s="42"/>
      <c r="J6" s="43"/>
      <c r="K6" s="44" t="n">
        <f aca="false">SUM(J6*90/100)</f>
        <v>0</v>
      </c>
      <c r="L6" s="45"/>
      <c r="M6" s="44" t="n">
        <f aca="false">K6-L6</f>
        <v>0</v>
      </c>
      <c r="N6" s="46"/>
      <c r="O6" s="47"/>
      <c r="P6" s="12"/>
      <c r="Q6" s="41" t="n">
        <v>21223</v>
      </c>
      <c r="R6" s="42" t="s">
        <v>210</v>
      </c>
      <c r="S6" s="43" t="n">
        <v>1800</v>
      </c>
      <c r="T6" s="48" t="n">
        <f aca="false">SUM(S6*90/100)</f>
        <v>1620</v>
      </c>
      <c r="U6" s="45" t="n">
        <v>5</v>
      </c>
      <c r="V6" s="48" t="n">
        <f aca="false">T6-U6</f>
        <v>1615</v>
      </c>
      <c r="W6" s="46" t="s">
        <v>47</v>
      </c>
      <c r="X6" s="47" t="s">
        <v>115</v>
      </c>
    </row>
    <row r="7" customFormat="false" ht="15.75" hidden="false" customHeight="true" outlineLevel="0" collapsed="false">
      <c r="A7" s="53" t="s">
        <v>17</v>
      </c>
      <c r="B7" s="54" t="n">
        <f aca="false">C39</f>
        <v>8361</v>
      </c>
      <c r="C7" s="55" t="n">
        <v>100</v>
      </c>
      <c r="D7" s="56" t="s">
        <v>18</v>
      </c>
      <c r="E7" s="57"/>
      <c r="F7" s="58" t="n">
        <f aca="false">SUM(A5:F6)</f>
        <v>16945</v>
      </c>
      <c r="G7" s="8"/>
      <c r="H7" s="41"/>
      <c r="I7" s="42"/>
      <c r="J7" s="43"/>
      <c r="K7" s="44" t="n">
        <f aca="false">SUM(J7*90/100)</f>
        <v>0</v>
      </c>
      <c r="L7" s="45"/>
      <c r="M7" s="44" t="n">
        <f aca="false">K7-L7</f>
        <v>0</v>
      </c>
      <c r="N7" s="46"/>
      <c r="O7" s="47"/>
      <c r="P7" s="12"/>
      <c r="Q7" s="41" t="n">
        <v>22280</v>
      </c>
      <c r="R7" s="42" t="s">
        <v>114</v>
      </c>
      <c r="S7" s="43" t="n">
        <v>300</v>
      </c>
      <c r="T7" s="48" t="n">
        <f aca="false">SUM(S7*90/100)</f>
        <v>270</v>
      </c>
      <c r="U7" s="45" t="n">
        <v>5</v>
      </c>
      <c r="V7" s="48" t="n">
        <f aca="false">T7-U7</f>
        <v>265</v>
      </c>
      <c r="W7" s="46" t="s">
        <v>47</v>
      </c>
      <c r="X7" s="47" t="s">
        <v>73</v>
      </c>
    </row>
    <row r="8" customFormat="false" ht="15.75" hidden="false" customHeight="true" outlineLevel="0" collapsed="false">
      <c r="A8" s="16" t="s">
        <v>19</v>
      </c>
      <c r="B8" s="57"/>
      <c r="C8" s="55" t="n">
        <v>50</v>
      </c>
      <c r="D8" s="56" t="s">
        <v>18</v>
      </c>
      <c r="E8" s="37" t="n">
        <v>19700</v>
      </c>
      <c r="F8" s="40"/>
      <c r="G8" s="8"/>
      <c r="H8" s="41"/>
      <c r="I8" s="42"/>
      <c r="J8" s="43"/>
      <c r="K8" s="44" t="n">
        <f aca="false">SUM(J8*90/100)</f>
        <v>0</v>
      </c>
      <c r="L8" s="45"/>
      <c r="M8" s="44" t="n">
        <f aca="false">K8-L8</f>
        <v>0</v>
      </c>
      <c r="N8" s="46"/>
      <c r="O8" s="47"/>
      <c r="P8" s="12"/>
      <c r="Q8" s="41" t="n">
        <v>24086</v>
      </c>
      <c r="R8" s="42" t="s">
        <v>155</v>
      </c>
      <c r="S8" s="43" t="n">
        <v>600</v>
      </c>
      <c r="T8" s="48" t="n">
        <f aca="false">SUM(S8*90/100)</f>
        <v>540</v>
      </c>
      <c r="U8" s="45" t="n">
        <v>5</v>
      </c>
      <c r="V8" s="48" t="n">
        <f aca="false">T8-U8</f>
        <v>535</v>
      </c>
      <c r="W8" s="46" t="s">
        <v>47</v>
      </c>
      <c r="X8" s="47" t="s">
        <v>73</v>
      </c>
    </row>
    <row r="9" customFormat="false" ht="15.75" hidden="false" customHeight="true" outlineLevel="0" collapsed="false">
      <c r="A9" s="59" t="s">
        <v>113</v>
      </c>
      <c r="B9" s="17" t="n">
        <v>9640</v>
      </c>
      <c r="C9" s="55" t="n">
        <v>10</v>
      </c>
      <c r="D9" s="56" t="s">
        <v>18</v>
      </c>
      <c r="E9" s="50" t="n">
        <v>1390</v>
      </c>
      <c r="F9" s="40"/>
      <c r="G9" s="8"/>
      <c r="H9" s="41"/>
      <c r="I9" s="42"/>
      <c r="J9" s="43"/>
      <c r="K9" s="44" t="n">
        <f aca="false">SUM(J9*90/100)</f>
        <v>0</v>
      </c>
      <c r="L9" s="45"/>
      <c r="M9" s="44" t="n">
        <f aca="false">K9-L9</f>
        <v>0</v>
      </c>
      <c r="N9" s="46"/>
      <c r="O9" s="47"/>
      <c r="P9" s="12"/>
      <c r="Q9" s="126" t="s">
        <v>146</v>
      </c>
      <c r="R9" s="127" t="s">
        <v>147</v>
      </c>
      <c r="S9" s="128" t="n">
        <v>1000</v>
      </c>
      <c r="T9" s="129" t="n">
        <f aca="false">SUM(S9*90/100)</f>
        <v>900</v>
      </c>
      <c r="U9" s="130" t="n">
        <v>50</v>
      </c>
      <c r="V9" s="129" t="n">
        <f aca="false">T9-U9</f>
        <v>850</v>
      </c>
      <c r="W9" s="129" t="s">
        <v>47</v>
      </c>
      <c r="X9" s="131" t="s">
        <v>73</v>
      </c>
    </row>
    <row r="10" customFormat="false" ht="15.75" hidden="false" customHeight="true" outlineLevel="0" collapsed="false">
      <c r="A10" s="59"/>
      <c r="B10" s="17"/>
      <c r="C10" s="55" t="n">
        <v>5</v>
      </c>
      <c r="D10" s="18" t="s">
        <v>18</v>
      </c>
      <c r="E10" s="50" t="n">
        <v>145</v>
      </c>
      <c r="F10" s="40"/>
      <c r="G10" s="8"/>
      <c r="H10" s="41"/>
      <c r="I10" s="42"/>
      <c r="J10" s="43"/>
      <c r="K10" s="44" t="n">
        <f aca="false">SUM(J10*90/100)</f>
        <v>0</v>
      </c>
      <c r="L10" s="45"/>
      <c r="M10" s="44" t="n">
        <f aca="false">K10-L10</f>
        <v>0</v>
      </c>
      <c r="N10" s="46"/>
      <c r="O10" s="47"/>
      <c r="P10" s="12"/>
      <c r="Q10" s="41"/>
      <c r="R10" s="42"/>
      <c r="S10" s="43"/>
      <c r="T10" s="48" t="n">
        <f aca="false">SUM(S10*90/100)</f>
        <v>0</v>
      </c>
      <c r="U10" s="45"/>
      <c r="V10" s="48" t="n">
        <f aca="false">T10-U10</f>
        <v>0</v>
      </c>
      <c r="W10" s="46"/>
      <c r="X10" s="47"/>
    </row>
    <row r="11" customFormat="false" ht="15.75" hidden="false" customHeight="true" outlineLevel="0" collapsed="false">
      <c r="A11" s="59"/>
      <c r="B11" s="17"/>
      <c r="C11" s="55" t="n">
        <v>1</v>
      </c>
      <c r="D11" s="60" t="s">
        <v>18</v>
      </c>
      <c r="E11" s="50" t="n">
        <v>92</v>
      </c>
      <c r="F11" s="40"/>
      <c r="G11" s="8"/>
      <c r="H11" s="41"/>
      <c r="I11" s="42"/>
      <c r="J11" s="43"/>
      <c r="K11" s="44" t="n">
        <f aca="false">SUM(J11*90/100)</f>
        <v>0</v>
      </c>
      <c r="L11" s="45"/>
      <c r="M11" s="44" t="n">
        <f aca="false">K11-L11</f>
        <v>0</v>
      </c>
      <c r="N11" s="46"/>
      <c r="O11" s="47"/>
      <c r="P11" s="12"/>
      <c r="Q11" s="41"/>
      <c r="R11" s="42"/>
      <c r="S11" s="43"/>
      <c r="T11" s="48" t="n">
        <f aca="false">SUM(S11*90/100)</f>
        <v>0</v>
      </c>
      <c r="U11" s="45"/>
      <c r="V11" s="48" t="n">
        <f aca="false">T11-U11</f>
        <v>0</v>
      </c>
      <c r="W11" s="46"/>
      <c r="X11" s="47"/>
    </row>
    <row r="12" customFormat="false" ht="15.75" hidden="false" customHeight="true" outlineLevel="0" collapsed="false">
      <c r="A12" s="59" t="s">
        <v>57</v>
      </c>
      <c r="B12" s="57" t="n">
        <v>155</v>
      </c>
      <c r="C12" s="61" t="s">
        <v>20</v>
      </c>
      <c r="D12" s="56" t="s">
        <v>18</v>
      </c>
      <c r="E12" s="62" t="n">
        <f aca="false">SUM(E7:E11)</f>
        <v>21327</v>
      </c>
      <c r="F12" s="40"/>
      <c r="G12" s="8"/>
      <c r="H12" s="41"/>
      <c r="I12" s="42"/>
      <c r="J12" s="43"/>
      <c r="K12" s="44" t="n">
        <f aca="false">SUM(J12*90/100)</f>
        <v>0</v>
      </c>
      <c r="L12" s="45"/>
      <c r="M12" s="44" t="n">
        <f aca="false">K12-L12</f>
        <v>0</v>
      </c>
      <c r="N12" s="46"/>
      <c r="O12" s="47"/>
      <c r="P12" s="12"/>
      <c r="Q12" s="41"/>
      <c r="R12" s="42"/>
      <c r="S12" s="43"/>
      <c r="T12" s="48" t="n">
        <f aca="false">SUM(S12*90/100)</f>
        <v>0</v>
      </c>
      <c r="U12" s="45"/>
      <c r="V12" s="48" t="n">
        <f aca="false">T12-U12</f>
        <v>0</v>
      </c>
      <c r="W12" s="46"/>
      <c r="X12" s="47"/>
    </row>
    <row r="13" customFormat="false" ht="15.75" hidden="false" customHeight="true" outlineLevel="0" collapsed="false">
      <c r="A13" s="59"/>
      <c r="B13" s="17"/>
      <c r="C13" s="63"/>
      <c r="D13" s="18"/>
      <c r="E13" s="17"/>
      <c r="F13" s="40"/>
      <c r="G13" s="8"/>
      <c r="H13" s="41"/>
      <c r="I13" s="42"/>
      <c r="J13" s="43"/>
      <c r="K13" s="44" t="n">
        <f aca="false">SUM(J13*90/100)</f>
        <v>0</v>
      </c>
      <c r="L13" s="45"/>
      <c r="M13" s="44" t="n">
        <f aca="false">K13-L13</f>
        <v>0</v>
      </c>
      <c r="N13" s="46"/>
      <c r="O13" s="47"/>
      <c r="P13" s="12"/>
      <c r="Q13" s="41"/>
      <c r="R13" s="42"/>
      <c r="S13" s="43"/>
      <c r="T13" s="48" t="n">
        <f aca="false">SUM(S13*90/100)</f>
        <v>0</v>
      </c>
      <c r="U13" s="45"/>
      <c r="V13" s="48" t="n">
        <f aca="false">T13-U13</f>
        <v>0</v>
      </c>
      <c r="W13" s="46"/>
      <c r="X13" s="47"/>
    </row>
    <row r="14" customFormat="false" ht="15.75" hidden="false" customHeight="true" outlineLevel="0" collapsed="false">
      <c r="A14" s="59"/>
      <c r="B14" s="17"/>
      <c r="C14" s="63"/>
      <c r="D14" s="18"/>
      <c r="E14" s="17"/>
      <c r="F14" s="40"/>
      <c r="G14" s="8"/>
      <c r="H14" s="41"/>
      <c r="I14" s="42"/>
      <c r="J14" s="43"/>
      <c r="K14" s="44" t="n">
        <f aca="false">SUM(J14*90/100)</f>
        <v>0</v>
      </c>
      <c r="L14" s="45"/>
      <c r="M14" s="44" t="n">
        <f aca="false">K14-L14</f>
        <v>0</v>
      </c>
      <c r="N14" s="46"/>
      <c r="O14" s="47"/>
      <c r="P14" s="12"/>
      <c r="Q14" s="41"/>
      <c r="R14" s="42"/>
      <c r="S14" s="43"/>
      <c r="T14" s="48" t="n">
        <f aca="false">SUM(S14*90/100)</f>
        <v>0</v>
      </c>
      <c r="U14" s="45"/>
      <c r="V14" s="48" t="n">
        <f aca="false">T14-U14</f>
        <v>0</v>
      </c>
      <c r="W14" s="46"/>
      <c r="X14" s="47"/>
    </row>
    <row r="15" customFormat="false" ht="15.75" hidden="false" customHeight="true" outlineLevel="0" collapsed="false">
      <c r="A15" s="59"/>
      <c r="B15" s="17"/>
      <c r="C15" s="63"/>
      <c r="D15" s="18"/>
      <c r="E15" s="17"/>
      <c r="F15" s="40"/>
      <c r="G15" s="8"/>
      <c r="H15" s="41"/>
      <c r="I15" s="42"/>
      <c r="J15" s="43"/>
      <c r="K15" s="44" t="n">
        <f aca="false">SUM(J15*90/100)</f>
        <v>0</v>
      </c>
      <c r="L15" s="45"/>
      <c r="M15" s="44" t="n">
        <f aca="false">K15-L15</f>
        <v>0</v>
      </c>
      <c r="N15" s="46"/>
      <c r="O15" s="47"/>
      <c r="P15" s="12"/>
      <c r="Q15" s="41"/>
      <c r="R15" s="42"/>
      <c r="S15" s="43"/>
      <c r="T15" s="48" t="n">
        <f aca="false">SUM(S15*90/100)</f>
        <v>0</v>
      </c>
      <c r="U15" s="45"/>
      <c r="V15" s="48" t="n">
        <f aca="false">T15-U15</f>
        <v>0</v>
      </c>
      <c r="W15" s="46"/>
      <c r="X15" s="47"/>
    </row>
    <row r="16" customFormat="false" ht="15.75" hidden="false" customHeight="true" outlineLevel="0" collapsed="false">
      <c r="A16" s="59"/>
      <c r="B16" s="17"/>
      <c r="C16" s="63"/>
      <c r="D16" s="18"/>
      <c r="E16" s="17"/>
      <c r="F16" s="40"/>
      <c r="G16" s="8"/>
      <c r="H16" s="41"/>
      <c r="I16" s="42"/>
      <c r="J16" s="43"/>
      <c r="K16" s="44" t="n">
        <f aca="false">SUM(J16*90/100)</f>
        <v>0</v>
      </c>
      <c r="L16" s="45"/>
      <c r="M16" s="44" t="n">
        <f aca="false">K16-L16</f>
        <v>0</v>
      </c>
      <c r="N16" s="46"/>
      <c r="O16" s="47"/>
      <c r="P16" s="12"/>
      <c r="Q16" s="41"/>
      <c r="R16" s="42"/>
      <c r="S16" s="43"/>
      <c r="T16" s="48" t="n">
        <f aca="false">SUM(S16*90/100)</f>
        <v>0</v>
      </c>
      <c r="U16" s="45"/>
      <c r="V16" s="48" t="n">
        <f aca="false">T16-U16</f>
        <v>0</v>
      </c>
      <c r="W16" s="46"/>
      <c r="X16" s="47"/>
    </row>
    <row r="17" customFormat="false" ht="15.75" hidden="false" customHeight="true" outlineLevel="0" collapsed="false">
      <c r="A17" s="59"/>
      <c r="B17" s="17"/>
      <c r="C17" s="63"/>
      <c r="D17" s="18"/>
      <c r="E17" s="17"/>
      <c r="F17" s="40"/>
      <c r="G17" s="8"/>
      <c r="H17" s="41"/>
      <c r="I17" s="42"/>
      <c r="J17" s="43"/>
      <c r="K17" s="44" t="n">
        <f aca="false">SUM(J17*90/100)</f>
        <v>0</v>
      </c>
      <c r="L17" s="45"/>
      <c r="M17" s="44" t="n">
        <f aca="false">K17-L17</f>
        <v>0</v>
      </c>
      <c r="N17" s="46"/>
      <c r="O17" s="47"/>
      <c r="P17" s="12"/>
      <c r="Q17" s="41"/>
      <c r="R17" s="42"/>
      <c r="S17" s="43"/>
      <c r="T17" s="48" t="n">
        <f aca="false">SUM(S17*90/100)</f>
        <v>0</v>
      </c>
      <c r="U17" s="45"/>
      <c r="V17" s="48" t="n">
        <f aca="false">T17-U17</f>
        <v>0</v>
      </c>
      <c r="W17" s="46"/>
      <c r="X17" s="47"/>
    </row>
    <row r="18" customFormat="false" ht="15.75" hidden="false" customHeight="true" outlineLevel="0" collapsed="false">
      <c r="A18" s="59"/>
      <c r="B18" s="17"/>
      <c r="C18" s="63"/>
      <c r="D18" s="18"/>
      <c r="E18" s="17"/>
      <c r="F18" s="40"/>
      <c r="G18" s="8"/>
      <c r="H18" s="41"/>
      <c r="I18" s="42"/>
      <c r="J18" s="43"/>
      <c r="K18" s="44" t="n">
        <f aca="false">SUM(J18*90/100)</f>
        <v>0</v>
      </c>
      <c r="L18" s="45"/>
      <c r="M18" s="44" t="n">
        <f aca="false">K18-L18</f>
        <v>0</v>
      </c>
      <c r="N18" s="46"/>
      <c r="O18" s="47"/>
      <c r="P18" s="12"/>
      <c r="Q18" s="41"/>
      <c r="R18" s="42"/>
      <c r="S18" s="43"/>
      <c r="T18" s="48" t="n">
        <f aca="false">SUM(S18*90/100)</f>
        <v>0</v>
      </c>
      <c r="U18" s="45"/>
      <c r="V18" s="48" t="n">
        <f aca="false">T18-U18</f>
        <v>0</v>
      </c>
      <c r="W18" s="46"/>
      <c r="X18" s="47"/>
    </row>
    <row r="19" customFormat="false" ht="15.75" hidden="false" customHeight="true" outlineLevel="0" collapsed="false">
      <c r="A19" s="59"/>
      <c r="B19" s="17"/>
      <c r="C19" s="63"/>
      <c r="D19" s="18"/>
      <c r="E19" s="17"/>
      <c r="F19" s="40"/>
      <c r="G19" s="8"/>
      <c r="H19" s="41"/>
      <c r="I19" s="42"/>
      <c r="J19" s="43"/>
      <c r="K19" s="44" t="n">
        <f aca="false">SUM(J19*90/100)</f>
        <v>0</v>
      </c>
      <c r="L19" s="45"/>
      <c r="M19" s="44" t="n">
        <f aca="false">K19-L19</f>
        <v>0</v>
      </c>
      <c r="N19" s="46"/>
      <c r="O19" s="47"/>
      <c r="P19" s="12"/>
      <c r="Q19" s="41"/>
      <c r="R19" s="42"/>
      <c r="S19" s="43"/>
      <c r="T19" s="48" t="n">
        <f aca="false">SUM(S19*90/100)</f>
        <v>0</v>
      </c>
      <c r="U19" s="45"/>
      <c r="V19" s="48" t="n">
        <f aca="false">T19-U19</f>
        <v>0</v>
      </c>
      <c r="W19" s="46"/>
      <c r="X19" s="47"/>
    </row>
    <row r="20" customFormat="false" ht="15.75" hidden="false" customHeight="true" outlineLevel="0" collapsed="false">
      <c r="A20" s="59"/>
      <c r="B20" s="17"/>
      <c r="C20" s="63"/>
      <c r="D20" s="18"/>
      <c r="E20" s="17"/>
      <c r="F20" s="40"/>
      <c r="G20" s="8"/>
      <c r="H20" s="41"/>
      <c r="I20" s="42"/>
      <c r="J20" s="43"/>
      <c r="K20" s="44" t="n">
        <f aca="false">SUM(J20*90/100)</f>
        <v>0</v>
      </c>
      <c r="L20" s="45"/>
      <c r="M20" s="44" t="n">
        <f aca="false">K20-L20</f>
        <v>0</v>
      </c>
      <c r="N20" s="46"/>
      <c r="O20" s="47"/>
      <c r="P20" s="12"/>
      <c r="Q20" s="41"/>
      <c r="R20" s="42"/>
      <c r="S20" s="43"/>
      <c r="T20" s="48" t="n">
        <f aca="false">SUM(S20*90/100)</f>
        <v>0</v>
      </c>
      <c r="U20" s="45"/>
      <c r="V20" s="48" t="n">
        <f aca="false">T20-U20</f>
        <v>0</v>
      </c>
      <c r="W20" s="46"/>
      <c r="X20" s="47"/>
    </row>
    <row r="21" customFormat="false" ht="15.75" hidden="false" customHeight="true" outlineLevel="0" collapsed="false">
      <c r="A21" s="64" t="s">
        <v>21</v>
      </c>
      <c r="B21" s="65" t="n">
        <f aca="false">SUM(B9:B20)</f>
        <v>9795</v>
      </c>
      <c r="C21" s="66"/>
      <c r="D21" s="67" t="s">
        <v>22</v>
      </c>
      <c r="E21" s="68" t="n">
        <f aca="false">F4+F7+E12</f>
        <v>38272</v>
      </c>
      <c r="F21" s="69"/>
      <c r="G21" s="8"/>
      <c r="H21" s="70"/>
      <c r="I21" s="71"/>
      <c r="J21" s="72" t="n">
        <f aca="false">SUM(J5:J20)</f>
        <v>500</v>
      </c>
      <c r="K21" s="73" t="n">
        <f aca="false">SUM(K5:K20)</f>
        <v>450</v>
      </c>
      <c r="L21" s="72" t="n">
        <f aca="false">SUM(L5:L20)</f>
        <v>5</v>
      </c>
      <c r="M21" s="74" t="n">
        <f aca="false">K21-L21</f>
        <v>445</v>
      </c>
      <c r="N21" s="75"/>
      <c r="O21" s="76"/>
      <c r="P21" s="12"/>
      <c r="Q21" s="70"/>
      <c r="R21" s="75"/>
      <c r="S21" s="72" t="n">
        <f aca="false">SUM(S5:S20)</f>
        <v>3900</v>
      </c>
      <c r="T21" s="77" t="n">
        <f aca="false">SUM(T5:T20)</f>
        <v>3510</v>
      </c>
      <c r="U21" s="72" t="n">
        <f aca="false">SUM(U5:U20)</f>
        <v>70</v>
      </c>
      <c r="V21" s="78" t="n">
        <f aca="false">T21-U21</f>
        <v>3440</v>
      </c>
      <c r="W21" s="75"/>
      <c r="X21" s="76"/>
    </row>
    <row r="22" customFormat="false" ht="15.75" hidden="false" customHeight="true" outlineLevel="0" collapsed="false">
      <c r="A22" s="8"/>
      <c r="B22" s="79"/>
      <c r="C22" s="80"/>
      <c r="D22" s="81"/>
      <c r="E22" s="79"/>
      <c r="F22" s="8"/>
      <c r="G22" s="8"/>
      <c r="H22" s="24"/>
      <c r="I22" s="82"/>
      <c r="J22" s="24"/>
      <c r="K22" s="23"/>
      <c r="L22" s="12"/>
      <c r="M22" s="24"/>
      <c r="N22" s="24"/>
      <c r="O22" s="12"/>
      <c r="P22" s="12"/>
      <c r="Q22" s="83"/>
      <c r="R22" s="83"/>
      <c r="S22" s="83"/>
      <c r="T22" s="83"/>
      <c r="U22" s="83"/>
      <c r="V22" s="83"/>
      <c r="W22" s="83"/>
      <c r="X22" s="83"/>
    </row>
    <row r="23" customFormat="false" ht="15.75" hidden="false" customHeight="true" outlineLevel="0" collapsed="false">
      <c r="A23" s="8"/>
      <c r="B23" s="84" t="s">
        <v>23</v>
      </c>
      <c r="C23" s="84"/>
      <c r="D23" s="84"/>
      <c r="E23" s="79"/>
      <c r="F23" s="8"/>
      <c r="G23" s="8"/>
      <c r="H23" s="9" t="s">
        <v>24</v>
      </c>
      <c r="I23" s="9"/>
      <c r="J23" s="9"/>
      <c r="K23" s="10"/>
      <c r="L23" s="11" t="s">
        <v>5</v>
      </c>
      <c r="M23" s="11"/>
      <c r="N23" s="11"/>
      <c r="O23" s="11"/>
      <c r="P23" s="12"/>
      <c r="Q23" s="13" t="s">
        <v>25</v>
      </c>
      <c r="R23" s="13"/>
      <c r="S23" s="13"/>
      <c r="T23" s="85"/>
      <c r="U23" s="11" t="s">
        <v>5</v>
      </c>
      <c r="V23" s="11"/>
      <c r="W23" s="11"/>
      <c r="X23" s="11"/>
    </row>
    <row r="24" customFormat="false" ht="15.75" hidden="false" customHeight="true" outlineLevel="0" collapsed="false">
      <c r="A24" s="8"/>
      <c r="B24" s="84"/>
      <c r="C24" s="84"/>
      <c r="D24" s="84"/>
      <c r="E24" s="79"/>
      <c r="F24" s="8"/>
      <c r="G24" s="8"/>
      <c r="H24" s="20"/>
      <c r="I24" s="21"/>
      <c r="J24" s="22"/>
      <c r="K24" s="23"/>
      <c r="L24" s="12"/>
      <c r="M24" s="24"/>
      <c r="N24" s="24"/>
      <c r="O24" s="25"/>
      <c r="P24" s="12"/>
      <c r="Q24" s="20"/>
      <c r="R24" s="22"/>
      <c r="S24" s="22"/>
      <c r="T24" s="12"/>
      <c r="U24" s="12"/>
      <c r="V24" s="24"/>
      <c r="W24" s="24"/>
      <c r="X24" s="25"/>
    </row>
    <row r="25" customFormat="false" ht="15.75" hidden="false" customHeight="true" outlineLevel="0" collapsed="false">
      <c r="A25" s="8"/>
      <c r="B25" s="84"/>
      <c r="C25" s="84"/>
      <c r="D25" s="84"/>
      <c r="E25" s="79"/>
      <c r="F25" s="8"/>
      <c r="G25" s="8"/>
      <c r="H25" s="86" t="s">
        <v>9</v>
      </c>
      <c r="I25" s="87" t="s">
        <v>10</v>
      </c>
      <c r="J25" s="33" t="s">
        <v>11</v>
      </c>
      <c r="K25" s="87" t="s">
        <v>12</v>
      </c>
      <c r="L25" s="88" t="s">
        <v>13</v>
      </c>
      <c r="M25" s="88" t="s">
        <v>14</v>
      </c>
      <c r="N25" s="88" t="s">
        <v>15</v>
      </c>
      <c r="O25" s="89" t="s">
        <v>16</v>
      </c>
      <c r="P25" s="12"/>
      <c r="Q25" s="86" t="s">
        <v>9</v>
      </c>
      <c r="R25" s="87" t="s">
        <v>10</v>
      </c>
      <c r="S25" s="33" t="s">
        <v>11</v>
      </c>
      <c r="T25" s="87" t="s">
        <v>12</v>
      </c>
      <c r="U25" s="88" t="s">
        <v>13</v>
      </c>
      <c r="V25" s="88" t="s">
        <v>14</v>
      </c>
      <c r="W25" s="88" t="s">
        <v>15</v>
      </c>
      <c r="X25" s="89" t="s">
        <v>16</v>
      </c>
    </row>
    <row r="26" customFormat="false" ht="15.75" hidden="false" customHeight="true" outlineLevel="0" collapsed="false">
      <c r="A26" s="8"/>
      <c r="B26" s="84"/>
      <c r="C26" s="84"/>
      <c r="D26" s="84"/>
      <c r="E26" s="79"/>
      <c r="F26" s="8"/>
      <c r="G26" s="8"/>
      <c r="H26" s="41"/>
      <c r="I26" s="42"/>
      <c r="J26" s="43"/>
      <c r="K26" s="90" t="n">
        <f aca="false">SUM(J26*90/100)</f>
        <v>0</v>
      </c>
      <c r="L26" s="45"/>
      <c r="M26" s="44" t="n">
        <f aca="false">K26-L26</f>
        <v>0</v>
      </c>
      <c r="N26" s="46"/>
      <c r="O26" s="47"/>
      <c r="P26" s="12"/>
      <c r="Q26" s="41"/>
      <c r="R26" s="42"/>
      <c r="S26" s="43"/>
      <c r="T26" s="48" t="n">
        <f aca="false">S26*90/100</f>
        <v>0</v>
      </c>
      <c r="U26" s="45"/>
      <c r="V26" s="48" t="n">
        <f aca="false">T26-U26</f>
        <v>0</v>
      </c>
      <c r="W26" s="46"/>
      <c r="X26" s="47"/>
    </row>
    <row r="27" customFormat="false" ht="15.75" hidden="false" customHeight="true" outlineLevel="0" collapsed="false">
      <c r="A27" s="8"/>
      <c r="B27" s="84"/>
      <c r="C27" s="84"/>
      <c r="D27" s="84"/>
      <c r="E27" s="79"/>
      <c r="F27" s="8"/>
      <c r="G27" s="8"/>
      <c r="H27" s="41"/>
      <c r="I27" s="42"/>
      <c r="J27" s="43"/>
      <c r="K27" s="90" t="n">
        <f aca="false">SUM(J27*90/100)</f>
        <v>0</v>
      </c>
      <c r="L27" s="45"/>
      <c r="M27" s="44" t="n">
        <f aca="false">K27-L27</f>
        <v>0</v>
      </c>
      <c r="N27" s="46"/>
      <c r="O27" s="47"/>
      <c r="P27" s="12"/>
      <c r="Q27" s="41"/>
      <c r="R27" s="42"/>
      <c r="S27" s="43"/>
      <c r="T27" s="48" t="n">
        <f aca="false">S27*90/100</f>
        <v>0</v>
      </c>
      <c r="U27" s="45"/>
      <c r="V27" s="48" t="n">
        <f aca="false">T27-U27</f>
        <v>0</v>
      </c>
      <c r="W27" s="46"/>
      <c r="X27" s="47"/>
    </row>
    <row r="28" customFormat="false" ht="15.75" hidden="false" customHeight="true" outlineLevel="0" collapsed="false">
      <c r="A28" s="8"/>
      <c r="B28" s="91" t="n">
        <f aca="false">E21-B7-B21-M21-M36-V21-V36</f>
        <v>16231</v>
      </c>
      <c r="C28" s="91"/>
      <c r="D28" s="91"/>
      <c r="E28" s="79"/>
      <c r="F28" s="8"/>
      <c r="G28" s="8"/>
      <c r="H28" s="41"/>
      <c r="I28" s="42"/>
      <c r="J28" s="43"/>
      <c r="K28" s="90" t="n">
        <f aca="false">SUM(J28*90/100)</f>
        <v>0</v>
      </c>
      <c r="L28" s="45"/>
      <c r="M28" s="44" t="n">
        <f aca="false">K28-L28</f>
        <v>0</v>
      </c>
      <c r="N28" s="46"/>
      <c r="O28" s="47"/>
      <c r="P28" s="12"/>
      <c r="Q28" s="41"/>
      <c r="R28" s="42"/>
      <c r="S28" s="43"/>
      <c r="T28" s="48" t="n">
        <f aca="false">S28*90/100</f>
        <v>0</v>
      </c>
      <c r="U28" s="45"/>
      <c r="V28" s="48" t="n">
        <f aca="false">T28-U28</f>
        <v>0</v>
      </c>
      <c r="W28" s="46"/>
      <c r="X28" s="47"/>
    </row>
    <row r="29" customFormat="false" ht="15.75" hidden="false" customHeight="true" outlineLevel="0" collapsed="false">
      <c r="A29" s="8"/>
      <c r="B29" s="91"/>
      <c r="C29" s="91"/>
      <c r="D29" s="91"/>
      <c r="E29" s="79"/>
      <c r="F29" s="8"/>
      <c r="G29" s="8"/>
      <c r="H29" s="41"/>
      <c r="I29" s="42"/>
      <c r="J29" s="43"/>
      <c r="K29" s="90" t="n">
        <f aca="false">SUM(J29*90/100)</f>
        <v>0</v>
      </c>
      <c r="L29" s="45"/>
      <c r="M29" s="44" t="n">
        <f aca="false">K29-L29</f>
        <v>0</v>
      </c>
      <c r="N29" s="46"/>
      <c r="O29" s="47"/>
      <c r="P29" s="12"/>
      <c r="Q29" s="41"/>
      <c r="R29" s="42"/>
      <c r="S29" s="43"/>
      <c r="T29" s="48" t="n">
        <f aca="false">S29*90/100</f>
        <v>0</v>
      </c>
      <c r="U29" s="45"/>
      <c r="V29" s="48" t="n">
        <f aca="false">T29-U29</f>
        <v>0</v>
      </c>
      <c r="W29" s="46"/>
      <c r="X29" s="47"/>
    </row>
    <row r="30" customFormat="false" ht="15.75" hidden="false" customHeight="true" outlineLevel="0" collapsed="false">
      <c r="A30" s="8"/>
      <c r="B30" s="91"/>
      <c r="C30" s="91"/>
      <c r="D30" s="91"/>
      <c r="E30" s="79"/>
      <c r="F30" s="8"/>
      <c r="G30" s="8"/>
      <c r="H30" s="41"/>
      <c r="I30" s="42"/>
      <c r="J30" s="43"/>
      <c r="K30" s="90" t="n">
        <f aca="false">SUM(J30*90/100)</f>
        <v>0</v>
      </c>
      <c r="L30" s="45"/>
      <c r="M30" s="44" t="n">
        <f aca="false">K30-L30</f>
        <v>0</v>
      </c>
      <c r="N30" s="46"/>
      <c r="O30" s="47"/>
      <c r="P30" s="12"/>
      <c r="Q30" s="41"/>
      <c r="R30" s="42"/>
      <c r="S30" s="43"/>
      <c r="T30" s="48" t="n">
        <f aca="false">S30*90/100</f>
        <v>0</v>
      </c>
      <c r="U30" s="45"/>
      <c r="V30" s="48" t="n">
        <f aca="false">T30-U30</f>
        <v>0</v>
      </c>
      <c r="W30" s="46"/>
      <c r="X30" s="47"/>
    </row>
    <row r="31" customFormat="false" ht="15.75" hidden="false" customHeight="true" outlineLevel="0" collapsed="false">
      <c r="A31" s="8"/>
      <c r="B31" s="91"/>
      <c r="C31" s="91"/>
      <c r="D31" s="91"/>
      <c r="E31" s="79"/>
      <c r="F31" s="8"/>
      <c r="G31" s="8"/>
      <c r="H31" s="41"/>
      <c r="I31" s="42"/>
      <c r="J31" s="43"/>
      <c r="K31" s="90" t="n">
        <f aca="false">SUM(J31*90/100)</f>
        <v>0</v>
      </c>
      <c r="L31" s="45"/>
      <c r="M31" s="44" t="n">
        <f aca="false">K31-L31</f>
        <v>0</v>
      </c>
      <c r="N31" s="46"/>
      <c r="O31" s="47"/>
      <c r="P31" s="12"/>
      <c r="Q31" s="41"/>
      <c r="R31" s="42"/>
      <c r="S31" s="43"/>
      <c r="T31" s="48" t="n">
        <f aca="false">S31*90/100</f>
        <v>0</v>
      </c>
      <c r="U31" s="45"/>
      <c r="V31" s="48" t="n">
        <f aca="false">T31-U31</f>
        <v>0</v>
      </c>
      <c r="W31" s="46"/>
      <c r="X31" s="47"/>
    </row>
    <row r="32" customFormat="false" ht="15.75" hidden="false" customHeight="true" outlineLevel="0" collapsed="false">
      <c r="A32" s="1"/>
      <c r="B32" s="91"/>
      <c r="C32" s="91"/>
      <c r="D32" s="91"/>
      <c r="E32" s="1"/>
      <c r="F32" s="8"/>
      <c r="G32" s="8"/>
      <c r="H32" s="41"/>
      <c r="I32" s="42"/>
      <c r="J32" s="43"/>
      <c r="K32" s="90" t="n">
        <f aca="false">SUM(J32*90/100)</f>
        <v>0</v>
      </c>
      <c r="L32" s="45"/>
      <c r="M32" s="44" t="n">
        <f aca="false">K32-L32</f>
        <v>0</v>
      </c>
      <c r="N32" s="46"/>
      <c r="O32" s="47"/>
      <c r="P32" s="12"/>
      <c r="Q32" s="41"/>
      <c r="R32" s="42"/>
      <c r="S32" s="43"/>
      <c r="T32" s="48" t="n">
        <f aca="false">S32*90/100</f>
        <v>0</v>
      </c>
      <c r="U32" s="45"/>
      <c r="V32" s="48" t="n">
        <f aca="false">T32-U32</f>
        <v>0</v>
      </c>
      <c r="W32" s="46"/>
      <c r="X32" s="47"/>
    </row>
    <row r="33" customFormat="false" ht="15.75" hidden="false" customHeight="true" outlineLevel="0" collapsed="false">
      <c r="A33" s="1"/>
      <c r="B33" s="1"/>
      <c r="C33" s="1"/>
      <c r="D33" s="1"/>
      <c r="E33" s="1"/>
      <c r="F33" s="8"/>
      <c r="G33" s="8"/>
      <c r="H33" s="41"/>
      <c r="I33" s="42"/>
      <c r="J33" s="43"/>
      <c r="K33" s="90" t="n">
        <f aca="false">SUM(J33*90/100)</f>
        <v>0</v>
      </c>
      <c r="L33" s="45"/>
      <c r="M33" s="44" t="n">
        <f aca="false">K33-L33</f>
        <v>0</v>
      </c>
      <c r="N33" s="46"/>
      <c r="O33" s="47"/>
      <c r="P33" s="12"/>
      <c r="Q33" s="41"/>
      <c r="R33" s="42"/>
      <c r="S33" s="43"/>
      <c r="T33" s="48" t="n">
        <f aca="false">S33*90/100</f>
        <v>0</v>
      </c>
      <c r="U33" s="45"/>
      <c r="V33" s="48" t="n">
        <f aca="false">T33-U33</f>
        <v>0</v>
      </c>
      <c r="W33" s="46"/>
      <c r="X33" s="47"/>
    </row>
    <row r="34" customFormat="false" ht="14.25" hidden="false" customHeight="true" outlineLevel="0" collapsed="false">
      <c r="A34" s="92" t="s">
        <v>27</v>
      </c>
      <c r="B34" s="92"/>
      <c r="C34" s="92"/>
      <c r="D34" s="1"/>
      <c r="E34" s="1"/>
      <c r="F34" s="8"/>
      <c r="G34" s="8"/>
      <c r="H34" s="41"/>
      <c r="I34" s="42"/>
      <c r="J34" s="43"/>
      <c r="K34" s="90" t="n">
        <f aca="false">SUM(J34*90/100)</f>
        <v>0</v>
      </c>
      <c r="L34" s="45"/>
      <c r="M34" s="44" t="n">
        <f aca="false">K34-L34</f>
        <v>0</v>
      </c>
      <c r="N34" s="46"/>
      <c r="O34" s="47"/>
      <c r="P34" s="12"/>
      <c r="Q34" s="41"/>
      <c r="R34" s="42"/>
      <c r="S34" s="43"/>
      <c r="T34" s="48" t="n">
        <f aca="false">S34*90/100</f>
        <v>0</v>
      </c>
      <c r="U34" s="45"/>
      <c r="V34" s="48" t="n">
        <f aca="false">T34-U34</f>
        <v>0</v>
      </c>
      <c r="W34" s="46"/>
      <c r="X34" s="47"/>
    </row>
    <row r="35" customFormat="false" ht="18" hidden="false" customHeight="true" outlineLevel="0" collapsed="false">
      <c r="A35" s="93"/>
      <c r="B35" s="93"/>
      <c r="C35" s="93"/>
      <c r="D35" s="1"/>
      <c r="E35" s="1"/>
      <c r="F35" s="8"/>
      <c r="G35" s="8"/>
      <c r="H35" s="41"/>
      <c r="I35" s="42"/>
      <c r="J35" s="43"/>
      <c r="K35" s="90" t="n">
        <f aca="false">SUM(J35*90/100)</f>
        <v>0</v>
      </c>
      <c r="L35" s="45"/>
      <c r="M35" s="44" t="n">
        <f aca="false">K35-L35</f>
        <v>0</v>
      </c>
      <c r="N35" s="46"/>
      <c r="O35" s="47"/>
      <c r="P35" s="12"/>
      <c r="Q35" s="41"/>
      <c r="R35" s="42"/>
      <c r="S35" s="43"/>
      <c r="T35" s="48" t="n">
        <f aca="false">S35*90/100</f>
        <v>0</v>
      </c>
      <c r="U35" s="45"/>
      <c r="V35" s="48" t="n">
        <f aca="false">T35-U35</f>
        <v>0</v>
      </c>
      <c r="W35" s="46"/>
      <c r="X35" s="47"/>
    </row>
    <row r="36" customFormat="false" ht="24" hidden="false" customHeight="true" outlineLevel="0" collapsed="false">
      <c r="A36" s="92" t="s">
        <v>28</v>
      </c>
      <c r="B36" s="92"/>
      <c r="C36" s="94" t="n">
        <v>9152</v>
      </c>
      <c r="D36" s="1"/>
      <c r="E36" s="1"/>
      <c r="F36" s="8"/>
      <c r="G36" s="8"/>
      <c r="H36" s="70"/>
      <c r="I36" s="71"/>
      <c r="J36" s="72" t="n">
        <f aca="false">SUM(J26:J35)</f>
        <v>0</v>
      </c>
      <c r="K36" s="95" t="n">
        <f aca="false">SUM(J36*90/100)</f>
        <v>0</v>
      </c>
      <c r="L36" s="72" t="n">
        <f aca="false">SUM(L26:L35)</f>
        <v>0</v>
      </c>
      <c r="M36" s="74" t="n">
        <f aca="false">K36-L36</f>
        <v>0</v>
      </c>
      <c r="N36" s="75"/>
      <c r="O36" s="76"/>
      <c r="P36" s="12"/>
      <c r="Q36" s="70"/>
      <c r="R36" s="75"/>
      <c r="S36" s="72" t="n">
        <f aca="false">SUM(S26:S35)</f>
        <v>0</v>
      </c>
      <c r="T36" s="77" t="n">
        <f aca="false">SUM(T26:T35)</f>
        <v>0</v>
      </c>
      <c r="U36" s="72" t="n">
        <f aca="false">SUM(U26:U35)</f>
        <v>0</v>
      </c>
      <c r="V36" s="78" t="n">
        <f aca="false">T36-U36</f>
        <v>0</v>
      </c>
      <c r="W36" s="75"/>
      <c r="X36" s="76"/>
    </row>
    <row r="37" customFormat="false" ht="7.5" hidden="false" customHeight="true" outlineLevel="0" collapsed="false">
      <c r="A37" s="1"/>
      <c r="B37" s="1"/>
      <c r="C37" s="8"/>
      <c r="D37" s="1"/>
      <c r="E37" s="1"/>
      <c r="F37" s="8"/>
      <c r="G37" s="8"/>
      <c r="H37" s="79"/>
      <c r="I37" s="96"/>
      <c r="J37" s="79"/>
      <c r="K37" s="97"/>
      <c r="L37" s="8"/>
      <c r="M37" s="79"/>
      <c r="N37" s="79"/>
      <c r="O37" s="8"/>
      <c r="P37" s="8"/>
      <c r="Q37" s="1"/>
      <c r="R37" s="1"/>
      <c r="S37" s="1"/>
      <c r="T37" s="1"/>
      <c r="U37" s="1"/>
      <c r="V37" s="1"/>
      <c r="W37" s="1"/>
      <c r="X37" s="1"/>
    </row>
    <row r="38" customFormat="false" ht="1.5" hidden="false" customHeight="true" outlineLevel="0" collapsed="false">
      <c r="A38" s="1"/>
      <c r="B38" s="1"/>
      <c r="C38" s="8"/>
      <c r="D38" s="1"/>
      <c r="E38" s="1"/>
      <c r="F38" s="8"/>
      <c r="G38" s="8"/>
      <c r="H38" s="79"/>
      <c r="I38" s="96"/>
      <c r="J38" s="79"/>
      <c r="K38" s="97"/>
      <c r="L38" s="8"/>
      <c r="M38" s="79"/>
      <c r="N38" s="79"/>
      <c r="O38" s="8"/>
      <c r="P38" s="8"/>
      <c r="Q38" s="1"/>
      <c r="R38" s="1"/>
      <c r="S38" s="1"/>
      <c r="T38" s="93"/>
      <c r="U38" s="93"/>
      <c r="V38" s="1"/>
      <c r="W38" s="1"/>
      <c r="X38" s="1"/>
    </row>
    <row r="39" customFormat="false" ht="24" hidden="false" customHeight="true" outlineLevel="0" collapsed="false">
      <c r="A39" s="98" t="s">
        <v>29</v>
      </c>
      <c r="B39" s="98"/>
      <c r="C39" s="99" t="n">
        <f aca="false">SUM(C36+D59-E59+G59-H59+K59-L59)</f>
        <v>8361</v>
      </c>
      <c r="D39" s="100" t="s">
        <v>30</v>
      </c>
      <c r="E39" s="101" t="s">
        <v>31</v>
      </c>
      <c r="F39" s="102" t="s">
        <v>32</v>
      </c>
      <c r="G39" s="101" t="s">
        <v>30</v>
      </c>
      <c r="H39" s="101" t="s">
        <v>33</v>
      </c>
      <c r="I39" s="103" t="s">
        <v>32</v>
      </c>
      <c r="J39" s="104"/>
      <c r="K39" s="101" t="s">
        <v>30</v>
      </c>
      <c r="L39" s="101" t="s">
        <v>33</v>
      </c>
      <c r="M39" s="105" t="s">
        <v>32</v>
      </c>
      <c r="N39" s="106"/>
      <c r="O39" s="1"/>
      <c r="P39" s="8"/>
      <c r="Q39" s="1"/>
      <c r="R39" s="1"/>
      <c r="S39" s="93"/>
      <c r="T39" s="93"/>
      <c r="U39" s="93"/>
      <c r="V39" s="1"/>
      <c r="W39" s="1"/>
      <c r="X39" s="1"/>
    </row>
    <row r="40" customFormat="false" ht="15.75" hidden="false" customHeight="true" outlineLevel="0" collapsed="false">
      <c r="A40" s="98"/>
      <c r="B40" s="98"/>
      <c r="C40" s="99"/>
      <c r="D40" s="101"/>
      <c r="E40" s="101" t="n">
        <v>445</v>
      </c>
      <c r="F40" s="107" t="s">
        <v>209</v>
      </c>
      <c r="G40" s="101"/>
      <c r="H40" s="108"/>
      <c r="I40" s="100"/>
      <c r="J40" s="109"/>
      <c r="K40" s="110"/>
      <c r="L40" s="101"/>
      <c r="M40" s="100"/>
      <c r="N40" s="100"/>
      <c r="O40" s="1"/>
      <c r="P40" s="8"/>
      <c r="Q40" s="1"/>
      <c r="R40" s="1"/>
      <c r="S40" s="93"/>
      <c r="T40" s="93"/>
      <c r="U40" s="1"/>
      <c r="V40" s="1"/>
      <c r="W40" s="1"/>
      <c r="X40" s="1"/>
    </row>
    <row r="41" customFormat="false" ht="15.75" hidden="false" customHeight="true" outlineLevel="0" collapsed="false">
      <c r="A41" s="98"/>
      <c r="B41" s="98"/>
      <c r="C41" s="99"/>
      <c r="D41" s="101"/>
      <c r="E41" s="101" t="n">
        <v>175</v>
      </c>
      <c r="F41" s="107" t="s">
        <v>211</v>
      </c>
      <c r="G41" s="101"/>
      <c r="H41" s="108"/>
      <c r="I41" s="100"/>
      <c r="J41" s="109"/>
      <c r="K41" s="110"/>
      <c r="L41" s="101"/>
      <c r="M41" s="100"/>
      <c r="N41" s="100"/>
      <c r="O41" s="1"/>
      <c r="P41" s="8"/>
      <c r="Q41" s="1"/>
      <c r="R41" s="1"/>
      <c r="S41" s="1"/>
      <c r="T41" s="1"/>
      <c r="U41" s="1"/>
      <c r="V41" s="1"/>
      <c r="W41" s="1"/>
      <c r="X41" s="1"/>
    </row>
    <row r="42" customFormat="false" ht="15.75" hidden="false" customHeight="true" outlineLevel="0" collapsed="false">
      <c r="A42" s="98"/>
      <c r="B42" s="98"/>
      <c r="C42" s="99"/>
      <c r="D42" s="101" t="n">
        <v>100</v>
      </c>
      <c r="E42" s="101"/>
      <c r="F42" s="107" t="s">
        <v>111</v>
      </c>
      <c r="G42" s="101"/>
      <c r="H42" s="108"/>
      <c r="I42" s="100"/>
      <c r="J42" s="109"/>
      <c r="K42" s="110"/>
      <c r="L42" s="101"/>
      <c r="M42" s="100"/>
      <c r="N42" s="100"/>
      <c r="O42" s="1"/>
      <c r="P42" s="8"/>
      <c r="Q42" s="1"/>
      <c r="R42" s="1"/>
      <c r="S42" s="111" t="s">
        <v>34</v>
      </c>
      <c r="T42" s="111" t="s">
        <v>35</v>
      </c>
      <c r="U42" s="112" t="n">
        <f aca="false">SUM(L21+U21+L36+U36)</f>
        <v>75</v>
      </c>
      <c r="V42" s="111"/>
      <c r="W42" s="111"/>
      <c r="X42" s="111"/>
    </row>
    <row r="43" customFormat="false" ht="15.75" hidden="false" customHeight="true" outlineLevel="0" collapsed="false">
      <c r="A43" s="98"/>
      <c r="B43" s="98"/>
      <c r="C43" s="99"/>
      <c r="D43" s="101" t="n">
        <v>560</v>
      </c>
      <c r="E43" s="101"/>
      <c r="F43" s="107" t="s">
        <v>180</v>
      </c>
      <c r="G43" s="101"/>
      <c r="H43" s="108"/>
      <c r="I43" s="100"/>
      <c r="J43" s="109"/>
      <c r="K43" s="110"/>
      <c r="L43" s="101"/>
      <c r="M43" s="100"/>
      <c r="N43" s="100"/>
      <c r="O43" s="1"/>
      <c r="P43" s="8"/>
      <c r="Q43" s="1"/>
      <c r="R43" s="1"/>
      <c r="S43" s="111" t="s">
        <v>36</v>
      </c>
      <c r="T43" s="111" t="s">
        <v>35</v>
      </c>
      <c r="U43" s="111"/>
      <c r="V43" s="111"/>
      <c r="W43" s="111"/>
      <c r="X43" s="111"/>
    </row>
    <row r="44" customFormat="false" ht="15.75" hidden="false" customHeight="true" outlineLevel="0" collapsed="false">
      <c r="A44" s="98"/>
      <c r="B44" s="98"/>
      <c r="C44" s="99"/>
      <c r="D44" s="101"/>
      <c r="E44" s="101" t="n">
        <v>155</v>
      </c>
      <c r="F44" s="107" t="s">
        <v>57</v>
      </c>
      <c r="G44" s="101"/>
      <c r="H44" s="108"/>
      <c r="I44" s="100"/>
      <c r="J44" s="109"/>
      <c r="K44" s="110"/>
      <c r="M44" s="100"/>
      <c r="N44" s="100"/>
      <c r="O44" s="1"/>
      <c r="P44" s="8"/>
      <c r="Q44" s="1"/>
      <c r="R44" s="1"/>
      <c r="S44" s="111"/>
      <c r="T44" s="111"/>
      <c r="U44" s="111"/>
      <c r="V44" s="111"/>
      <c r="W44" s="111"/>
      <c r="X44" s="111"/>
    </row>
    <row r="45" customFormat="false" ht="15.75" hidden="false" customHeight="true" outlineLevel="0" collapsed="false">
      <c r="A45" s="98"/>
      <c r="B45" s="98"/>
      <c r="C45" s="99"/>
      <c r="D45" s="101"/>
      <c r="E45" s="101" t="n">
        <v>640</v>
      </c>
      <c r="F45" s="107" t="s">
        <v>85</v>
      </c>
      <c r="G45" s="101"/>
      <c r="H45" s="108"/>
      <c r="I45" s="113"/>
      <c r="J45" s="114"/>
      <c r="K45" s="110"/>
      <c r="L45" s="101"/>
      <c r="M45" s="100"/>
      <c r="N45" s="100"/>
      <c r="O45" s="1"/>
      <c r="P45" s="8"/>
      <c r="Q45" s="1"/>
      <c r="R45" s="1"/>
      <c r="S45" s="111"/>
      <c r="T45" s="111"/>
      <c r="U45" s="111"/>
      <c r="V45" s="111"/>
      <c r="W45" s="111"/>
      <c r="X45" s="111"/>
    </row>
    <row r="46" customFormat="false" ht="15.75" hidden="false" customHeight="true" outlineLevel="0" collapsed="false">
      <c r="A46" s="98"/>
      <c r="B46" s="98"/>
      <c r="C46" s="99"/>
      <c r="D46" s="101" t="n">
        <v>300</v>
      </c>
      <c r="E46" s="101"/>
      <c r="F46" s="107" t="s">
        <v>118</v>
      </c>
      <c r="G46" s="101"/>
      <c r="H46" s="108"/>
      <c r="I46" s="100"/>
      <c r="J46" s="109"/>
      <c r="K46" s="110"/>
      <c r="L46" s="101"/>
      <c r="M46" s="100"/>
      <c r="N46" s="100"/>
      <c r="O46" s="1"/>
      <c r="P46" s="8"/>
      <c r="Q46" s="1"/>
      <c r="R46" s="1"/>
      <c r="S46" s="111"/>
      <c r="T46" s="111"/>
      <c r="U46" s="111"/>
      <c r="V46" s="111"/>
      <c r="W46" s="111"/>
      <c r="X46" s="111"/>
    </row>
    <row r="47" customFormat="false" ht="15.75" hidden="false" customHeight="true" outlineLevel="0" collapsed="false">
      <c r="A47" s="98"/>
      <c r="B47" s="98"/>
      <c r="C47" s="99"/>
      <c r="D47" s="101"/>
      <c r="E47" s="101" t="n">
        <v>716</v>
      </c>
      <c r="F47" s="107" t="s">
        <v>39</v>
      </c>
      <c r="G47" s="101"/>
      <c r="H47" s="108"/>
      <c r="I47" s="100"/>
      <c r="J47" s="109"/>
      <c r="K47" s="110"/>
      <c r="L47" s="101"/>
      <c r="M47" s="115"/>
      <c r="N47" s="115"/>
      <c r="O47" s="1"/>
      <c r="P47" s="8"/>
      <c r="Q47" s="1"/>
      <c r="R47" s="1"/>
      <c r="S47" s="111" t="s">
        <v>37</v>
      </c>
      <c r="T47" s="111"/>
      <c r="U47" s="111"/>
      <c r="V47" s="111"/>
      <c r="W47" s="111" t="s">
        <v>38</v>
      </c>
      <c r="X47" s="111"/>
    </row>
    <row r="48" customFormat="false" ht="22.5" hidden="false" customHeight="true" outlineLevel="0" collapsed="false">
      <c r="A48" s="98"/>
      <c r="B48" s="98"/>
      <c r="C48" s="99"/>
      <c r="D48" s="101" t="n">
        <v>10</v>
      </c>
      <c r="E48" s="101"/>
      <c r="F48" s="107" t="s">
        <v>200</v>
      </c>
      <c r="G48" s="101"/>
      <c r="H48" s="108"/>
      <c r="I48" s="116"/>
      <c r="J48" s="114"/>
      <c r="K48" s="110"/>
      <c r="L48" s="108"/>
      <c r="M48" s="100"/>
      <c r="N48" s="100"/>
      <c r="O48" s="1"/>
      <c r="P48" s="8"/>
      <c r="Q48" s="1"/>
      <c r="R48" s="1"/>
      <c r="S48" s="1"/>
      <c r="T48" s="1"/>
      <c r="U48" s="18" t="s">
        <v>39</v>
      </c>
      <c r="V48" s="93"/>
      <c r="W48" s="93"/>
      <c r="X48" s="1"/>
    </row>
    <row r="49" customFormat="false" ht="15.75" hidden="false" customHeight="true" outlineLevel="0" collapsed="false">
      <c r="A49" s="98"/>
      <c r="B49" s="98"/>
      <c r="C49" s="99"/>
      <c r="D49" s="101"/>
      <c r="E49" s="101" t="n">
        <v>265</v>
      </c>
      <c r="F49" s="117" t="s">
        <v>212</v>
      </c>
      <c r="G49" s="101"/>
      <c r="H49" s="108"/>
      <c r="I49" s="100"/>
      <c r="J49" s="100"/>
      <c r="K49" s="110"/>
      <c r="L49" s="108"/>
      <c r="M49" s="100"/>
      <c r="N49" s="100"/>
      <c r="O49" s="1"/>
      <c r="P49" s="8"/>
      <c r="Q49" s="1"/>
      <c r="R49" s="1"/>
      <c r="S49" s="1"/>
      <c r="T49" s="1"/>
      <c r="U49" s="93"/>
      <c r="V49" s="93"/>
      <c r="W49" s="93"/>
      <c r="X49" s="1"/>
    </row>
    <row r="50" customFormat="false" ht="16.5" hidden="false" customHeight="true" outlineLevel="0" collapsed="false">
      <c r="A50" s="98"/>
      <c r="B50" s="98"/>
      <c r="C50" s="99"/>
      <c r="D50" s="101" t="n">
        <v>1000</v>
      </c>
      <c r="E50" s="101"/>
      <c r="F50" s="117" t="s">
        <v>213</v>
      </c>
      <c r="G50" s="101"/>
      <c r="H50" s="108"/>
      <c r="I50" s="100"/>
      <c r="J50" s="100"/>
      <c r="K50" s="110"/>
      <c r="L50" s="101"/>
      <c r="M50" s="113"/>
      <c r="N50" s="113"/>
      <c r="O50" s="1"/>
      <c r="P50" s="8"/>
      <c r="Q50" s="1"/>
      <c r="R50" s="1"/>
      <c r="S50" s="1"/>
      <c r="T50" s="1"/>
      <c r="U50" s="93" t="s">
        <v>40</v>
      </c>
      <c r="V50" s="93"/>
      <c r="W50" s="93"/>
      <c r="X50" s="1"/>
    </row>
    <row r="51" customFormat="false" ht="22.5" hidden="false" customHeight="true" outlineLevel="0" collapsed="false">
      <c r="A51" s="98"/>
      <c r="B51" s="98"/>
      <c r="C51" s="99"/>
      <c r="D51" s="101" t="n">
        <v>190</v>
      </c>
      <c r="E51" s="101"/>
      <c r="F51" s="117" t="s">
        <v>214</v>
      </c>
      <c r="G51" s="101"/>
      <c r="H51" s="108"/>
      <c r="I51" s="118"/>
      <c r="J51" s="119"/>
      <c r="K51" s="110"/>
      <c r="L51" s="101"/>
      <c r="M51" s="118"/>
      <c r="N51" s="120"/>
      <c r="O51" s="1"/>
      <c r="P51" s="8"/>
      <c r="Q51" s="1"/>
      <c r="R51" s="1"/>
      <c r="S51" s="1"/>
      <c r="T51" s="1"/>
      <c r="U51" s="1"/>
      <c r="V51" s="1"/>
      <c r="W51" s="1"/>
      <c r="X51" s="1"/>
    </row>
    <row r="52" customFormat="false" ht="15.75" hidden="false" customHeight="true" outlineLevel="0" collapsed="false">
      <c r="A52" s="98"/>
      <c r="B52" s="98"/>
      <c r="C52" s="99"/>
      <c r="D52" s="101"/>
      <c r="E52" s="101" t="n">
        <v>535</v>
      </c>
      <c r="F52" s="117" t="s">
        <v>215</v>
      </c>
      <c r="G52" s="101"/>
      <c r="H52" s="108"/>
      <c r="I52" s="113"/>
      <c r="J52" s="121"/>
      <c r="K52" s="110"/>
      <c r="L52" s="101"/>
      <c r="M52" s="118"/>
      <c r="N52" s="120"/>
      <c r="O52" s="1"/>
      <c r="P52" s="8"/>
      <c r="Q52" s="1"/>
      <c r="R52" s="1"/>
      <c r="S52" s="1"/>
      <c r="T52" s="1"/>
      <c r="U52" s="1"/>
      <c r="V52" s="1"/>
      <c r="W52" s="1"/>
      <c r="X52" s="1"/>
    </row>
    <row r="53" customFormat="false" ht="15.75" hidden="false" customHeight="true" outlineLevel="0" collapsed="false">
      <c r="A53" s="98"/>
      <c r="B53" s="98"/>
      <c r="C53" s="99"/>
      <c r="D53" s="101"/>
      <c r="E53" s="101" t="n">
        <v>850</v>
      </c>
      <c r="F53" s="117" t="s">
        <v>216</v>
      </c>
      <c r="G53" s="101"/>
      <c r="H53" s="108"/>
      <c r="I53" s="100"/>
      <c r="J53" s="122"/>
      <c r="K53" s="110"/>
      <c r="L53" s="101"/>
      <c r="M53" s="118"/>
      <c r="N53" s="120"/>
      <c r="O53" s="1"/>
      <c r="P53" s="8"/>
      <c r="Q53" s="1"/>
      <c r="R53" s="1"/>
      <c r="S53" s="1"/>
      <c r="T53" s="1"/>
      <c r="U53" s="1"/>
      <c r="V53" s="1"/>
      <c r="W53" s="1"/>
      <c r="X53" s="1"/>
    </row>
    <row r="54" customFormat="false" ht="15.75" hidden="false" customHeight="true" outlineLevel="0" collapsed="false">
      <c r="A54" s="98"/>
      <c r="B54" s="98"/>
      <c r="C54" s="99"/>
      <c r="D54" s="101"/>
      <c r="E54" s="101" t="n">
        <v>170</v>
      </c>
      <c r="F54" s="117" t="s">
        <v>217</v>
      </c>
      <c r="G54" s="101"/>
      <c r="H54" s="101"/>
      <c r="I54" s="113"/>
      <c r="J54" s="121"/>
      <c r="K54" s="101"/>
      <c r="L54" s="101"/>
      <c r="M54" s="118"/>
      <c r="N54" s="120"/>
      <c r="O54" s="1"/>
      <c r="P54" s="8"/>
      <c r="Q54" s="1"/>
      <c r="R54" s="1"/>
      <c r="S54" s="1"/>
      <c r="T54" s="1"/>
      <c r="U54" s="1"/>
      <c r="V54" s="1"/>
      <c r="W54" s="1"/>
      <c r="X54" s="1"/>
    </row>
    <row r="55" customFormat="false" ht="15.75" hidden="false" customHeight="true" outlineLevel="0" collapsed="false">
      <c r="A55" s="98"/>
      <c r="B55" s="98"/>
      <c r="C55" s="99"/>
      <c r="D55" s="101" t="n">
        <v>1000</v>
      </c>
      <c r="E55" s="101"/>
      <c r="F55" s="117" t="s">
        <v>218</v>
      </c>
      <c r="G55" s="101"/>
      <c r="H55" s="101"/>
      <c r="I55" s="100"/>
      <c r="J55" s="122"/>
      <c r="K55" s="101"/>
      <c r="L55" s="101"/>
      <c r="M55" s="118"/>
      <c r="N55" s="120"/>
      <c r="O55" s="1"/>
      <c r="P55" s="8"/>
      <c r="Q55" s="1"/>
      <c r="R55" s="1"/>
      <c r="S55" s="1"/>
      <c r="T55" s="1"/>
      <c r="U55" s="1"/>
      <c r="V55" s="1"/>
      <c r="W55" s="1"/>
      <c r="X55" s="1"/>
    </row>
    <row r="56" customFormat="false" ht="15.75" hidden="false" customHeight="true" outlineLevel="0" collapsed="false">
      <c r="A56" s="98"/>
      <c r="B56" s="98"/>
      <c r="C56" s="99"/>
      <c r="D56" s="101"/>
      <c r="E56" s="101"/>
      <c r="F56" s="117"/>
      <c r="G56" s="101"/>
      <c r="H56" s="101"/>
      <c r="I56" s="100"/>
      <c r="J56" s="122"/>
      <c r="K56" s="101"/>
      <c r="L56" s="101"/>
      <c r="M56" s="118"/>
      <c r="N56" s="120"/>
      <c r="O56" s="1"/>
      <c r="P56" s="8"/>
      <c r="Q56" s="1"/>
      <c r="R56" s="1"/>
      <c r="S56" s="1"/>
      <c r="T56" s="1"/>
      <c r="U56" s="1"/>
      <c r="V56" s="1"/>
      <c r="W56" s="1"/>
      <c r="X56" s="1"/>
    </row>
    <row r="57" customFormat="false" ht="15.75" hidden="false" customHeight="true" outlineLevel="0" collapsed="false">
      <c r="A57" s="98"/>
      <c r="B57" s="98"/>
      <c r="C57" s="99"/>
      <c r="D57" s="101"/>
      <c r="E57" s="101"/>
      <c r="F57" s="117"/>
      <c r="G57" s="101"/>
      <c r="H57" s="101"/>
      <c r="I57" s="100"/>
      <c r="J57" s="122"/>
      <c r="K57" s="101"/>
      <c r="L57" s="101"/>
      <c r="M57" s="118"/>
      <c r="N57" s="120"/>
      <c r="O57" s="1"/>
      <c r="P57" s="8"/>
      <c r="Q57" s="1"/>
      <c r="R57" s="1"/>
      <c r="S57" s="1"/>
      <c r="T57" s="1"/>
      <c r="U57" s="1"/>
      <c r="V57" s="1"/>
      <c r="W57" s="1"/>
      <c r="X57" s="1"/>
    </row>
    <row r="58" customFormat="false" ht="15.75" hidden="false" customHeight="true" outlineLevel="0" collapsed="false">
      <c r="A58" s="98"/>
      <c r="B58" s="98"/>
      <c r="C58" s="99"/>
      <c r="D58" s="101"/>
      <c r="E58" s="101"/>
      <c r="F58" s="117"/>
      <c r="G58" s="101"/>
      <c r="H58" s="101"/>
      <c r="I58" s="100"/>
      <c r="J58" s="122"/>
      <c r="K58" s="101"/>
      <c r="L58" s="101"/>
      <c r="M58" s="118"/>
      <c r="N58" s="120"/>
      <c r="O58" s="1"/>
      <c r="P58" s="8"/>
      <c r="Q58" s="1"/>
      <c r="R58" s="1"/>
      <c r="S58" s="1"/>
      <c r="T58" s="1"/>
      <c r="U58" s="1"/>
      <c r="V58" s="1"/>
      <c r="W58" s="1"/>
      <c r="X58" s="1"/>
    </row>
    <row r="59" customFormat="false" ht="15.75" hidden="false" customHeight="true" outlineLevel="0" collapsed="false">
      <c r="A59" s="98"/>
      <c r="B59" s="98"/>
      <c r="C59" s="99"/>
      <c r="D59" s="123" t="n">
        <f aca="false">SUM(D40:D58)</f>
        <v>3160</v>
      </c>
      <c r="E59" s="123" t="n">
        <f aca="false">SUM(E40:E58)</f>
        <v>3951</v>
      </c>
      <c r="F59" s="117"/>
      <c r="G59" s="123" t="n">
        <f aca="false">SUM(G40:G58)</f>
        <v>0</v>
      </c>
      <c r="H59" s="123" t="n">
        <f aca="false">SUM(H40:H58)</f>
        <v>0</v>
      </c>
      <c r="I59" s="100"/>
      <c r="J59" s="100"/>
      <c r="K59" s="101" t="n">
        <f aca="false">SUM(K40:K58)</f>
        <v>0</v>
      </c>
      <c r="L59" s="101" t="n">
        <f aca="false">SUM(L40:L58)</f>
        <v>0</v>
      </c>
      <c r="M59" s="100"/>
      <c r="N59" s="100"/>
      <c r="O59" s="1"/>
      <c r="P59" s="8"/>
      <c r="Q59" s="1"/>
      <c r="R59" s="1"/>
      <c r="S59" s="1"/>
      <c r="T59" s="1"/>
      <c r="U59" s="1"/>
      <c r="V59" s="1"/>
      <c r="W59" s="1"/>
      <c r="X59" s="1"/>
    </row>
    <row r="60" customFormat="false" ht="15.75" hidden="false" customHeight="true" outlineLevel="0" collapsed="false">
      <c r="A60" s="1"/>
      <c r="B60" s="1"/>
      <c r="C60" s="1"/>
      <c r="D60" s="1"/>
      <c r="E60" s="1"/>
      <c r="F60" s="8"/>
      <c r="G60" s="8"/>
      <c r="H60" s="1"/>
      <c r="I60" s="2"/>
      <c r="J60" s="1"/>
      <c r="K60" s="83"/>
      <c r="L60" s="83"/>
      <c r="M60" s="124"/>
      <c r="N60" s="124"/>
      <c r="O60" s="1"/>
      <c r="P60" s="8"/>
      <c r="Q60" s="1"/>
      <c r="R60" s="1"/>
      <c r="S60" s="1"/>
      <c r="T60" s="1"/>
      <c r="U60" s="1"/>
      <c r="V60" s="1"/>
      <c r="W60" s="1"/>
      <c r="X60" s="1"/>
    </row>
    <row r="61" customFormat="false" ht="15.75" hidden="false" customHeight="true" outlineLevel="0" collapsed="false">
      <c r="A61" s="1"/>
      <c r="B61" s="1"/>
      <c r="C61" s="1"/>
      <c r="D61" s="1"/>
      <c r="E61" s="1"/>
      <c r="F61" s="8"/>
      <c r="G61" s="8"/>
      <c r="H61" s="1"/>
      <c r="I61" s="2"/>
      <c r="J61" s="1"/>
      <c r="K61" s="83"/>
      <c r="L61" s="83"/>
      <c r="M61" s="124"/>
      <c r="N61" s="124"/>
      <c r="O61" s="1"/>
      <c r="P61" s="8"/>
      <c r="Q61" s="1"/>
      <c r="R61" s="1"/>
      <c r="S61" s="1"/>
      <c r="T61" s="1"/>
      <c r="U61" s="1"/>
      <c r="V61" s="1"/>
      <c r="W61" s="1"/>
      <c r="X61" s="1"/>
    </row>
    <row r="62" customFormat="false" ht="15.75" hidden="false" customHeight="true" outlineLevel="0" collapsed="false">
      <c r="A62" s="1"/>
      <c r="B62" s="1"/>
      <c r="C62" s="1"/>
      <c r="D62" s="1"/>
      <c r="E62" s="1"/>
      <c r="F62" s="8"/>
      <c r="G62" s="8"/>
      <c r="H62" s="1"/>
      <c r="I62" s="2"/>
      <c r="J62" s="1"/>
      <c r="K62" s="83"/>
      <c r="L62" s="83"/>
      <c r="M62" s="124"/>
      <c r="N62" s="124"/>
      <c r="O62" s="1"/>
      <c r="P62" s="8"/>
      <c r="Q62" s="1"/>
      <c r="R62" s="1"/>
      <c r="S62" s="1"/>
      <c r="T62" s="1"/>
      <c r="U62" s="1"/>
      <c r="V62" s="1"/>
      <c r="W62" s="1"/>
      <c r="X62" s="1"/>
    </row>
    <row r="63" customFormat="false" ht="15.75" hidden="false" customHeight="true" outlineLevel="0" collapsed="false">
      <c r="A63" s="1"/>
      <c r="B63" s="1"/>
      <c r="C63" s="1"/>
      <c r="D63" s="1"/>
      <c r="E63" s="1"/>
      <c r="F63" s="8"/>
      <c r="G63" s="8"/>
      <c r="H63" s="1"/>
      <c r="I63" s="2"/>
      <c r="J63" s="1"/>
      <c r="K63" s="125"/>
      <c r="L63" s="125"/>
      <c r="M63" s="124"/>
      <c r="N63" s="124"/>
      <c r="O63" s="1"/>
      <c r="P63" s="8"/>
      <c r="Q63" s="1"/>
      <c r="R63" s="1"/>
      <c r="S63" s="1"/>
      <c r="T63" s="1"/>
      <c r="U63" s="1"/>
      <c r="V63" s="1"/>
      <c r="W63" s="1"/>
      <c r="X63" s="1"/>
    </row>
    <row r="64" customFormat="false" ht="15.75" hidden="false" customHeight="true" outlineLevel="0" collapsed="false">
      <c r="A64" s="1"/>
      <c r="B64" s="1"/>
      <c r="C64" s="1"/>
      <c r="D64" s="1"/>
      <c r="E64" s="1"/>
      <c r="F64" s="8"/>
      <c r="G64" s="8"/>
      <c r="H64" s="1"/>
      <c r="I64" s="2"/>
      <c r="J64" s="1"/>
      <c r="K64" s="2"/>
      <c r="L64" s="1"/>
      <c r="M64" s="1"/>
      <c r="N64" s="1"/>
      <c r="O64" s="1"/>
      <c r="P64" s="8"/>
      <c r="Q64" s="1"/>
      <c r="R64" s="1"/>
      <c r="S64" s="1"/>
      <c r="T64" s="1"/>
      <c r="U64" s="1"/>
      <c r="V64" s="1"/>
      <c r="W64" s="1"/>
      <c r="X64" s="1"/>
    </row>
    <row r="65" customFormat="false" ht="15.75" hidden="false" customHeight="true" outlineLevel="0" collapsed="false">
      <c r="A65" s="1"/>
      <c r="B65" s="1"/>
      <c r="C65" s="1"/>
      <c r="D65" s="1"/>
      <c r="E65" s="1"/>
      <c r="F65" s="8"/>
      <c r="G65" s="8"/>
      <c r="H65" s="1"/>
      <c r="I65" s="2"/>
      <c r="J65" s="1"/>
      <c r="K65" s="2"/>
      <c r="L65" s="1"/>
      <c r="M65" s="1"/>
      <c r="N65" s="1"/>
      <c r="O65" s="1"/>
      <c r="P65" s="8"/>
      <c r="Q65" s="1"/>
      <c r="R65" s="1"/>
      <c r="S65" s="1"/>
      <c r="T65" s="1"/>
      <c r="U65" s="1"/>
      <c r="V65" s="1"/>
      <c r="W65" s="1"/>
      <c r="X65" s="1"/>
    </row>
    <row r="66" customFormat="false" ht="15.75" hidden="false" customHeight="true" outlineLevel="0" collapsed="false">
      <c r="A66" s="1"/>
      <c r="B66" s="1"/>
      <c r="C66" s="1"/>
      <c r="D66" s="1"/>
      <c r="E66" s="1"/>
      <c r="F66" s="8"/>
      <c r="G66" s="8"/>
      <c r="H66" s="1"/>
      <c r="I66" s="2"/>
      <c r="J66" s="1"/>
      <c r="K66" s="2"/>
      <c r="L66" s="1"/>
      <c r="M66" s="1"/>
      <c r="N66" s="1"/>
      <c r="O66" s="1"/>
      <c r="P66" s="8"/>
      <c r="Q66" s="1"/>
      <c r="R66" s="1"/>
      <c r="S66" s="1"/>
      <c r="T66" s="1"/>
      <c r="U66" s="1"/>
      <c r="V66" s="1"/>
      <c r="W66" s="1"/>
      <c r="X66" s="1"/>
    </row>
    <row r="67" customFormat="false" ht="15.75" hidden="false" customHeight="true" outlineLevel="0" collapsed="false">
      <c r="A67" s="1"/>
      <c r="B67" s="1"/>
      <c r="C67" s="1"/>
      <c r="D67" s="1"/>
      <c r="E67" s="1"/>
      <c r="F67" s="8"/>
      <c r="G67" s="8"/>
      <c r="H67" s="1"/>
      <c r="I67" s="2"/>
      <c r="J67" s="1"/>
      <c r="K67" s="2"/>
      <c r="L67" s="1"/>
      <c r="M67" s="1"/>
      <c r="N67" s="1"/>
      <c r="O67" s="1"/>
      <c r="P67" s="8"/>
      <c r="Q67" s="1"/>
      <c r="R67" s="1"/>
      <c r="S67" s="1"/>
      <c r="T67" s="1"/>
      <c r="U67" s="1"/>
      <c r="V67" s="1"/>
      <c r="W67" s="1"/>
      <c r="X67" s="1"/>
    </row>
    <row r="68" customFormat="false" ht="15.75" hidden="false" customHeight="true" outlineLevel="0" collapsed="false">
      <c r="A68" s="1"/>
      <c r="B68" s="1"/>
      <c r="C68" s="1"/>
      <c r="D68" s="1"/>
      <c r="E68" s="1"/>
      <c r="F68" s="8"/>
      <c r="G68" s="8"/>
      <c r="H68" s="1"/>
      <c r="I68" s="2"/>
      <c r="J68" s="1"/>
      <c r="K68" s="2"/>
      <c r="L68" s="1"/>
      <c r="M68" s="1"/>
      <c r="N68" s="1"/>
      <c r="O68" s="1"/>
      <c r="P68" s="8"/>
      <c r="Q68" s="1"/>
      <c r="R68" s="1"/>
      <c r="S68" s="1"/>
      <c r="T68" s="1"/>
      <c r="U68" s="1"/>
      <c r="V68" s="1"/>
      <c r="W68" s="1"/>
      <c r="X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8"/>
      <c r="G69" s="8"/>
      <c r="H69" s="1"/>
      <c r="I69" s="2"/>
      <c r="J69" s="1"/>
      <c r="K69" s="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customFormat="false" ht="15.75" hidden="false" customHeight="true" outlineLevel="0" collapsed="false">
      <c r="A70" s="1"/>
      <c r="B70" s="1"/>
      <c r="C70" s="1"/>
      <c r="D70" s="1"/>
      <c r="E70" s="1"/>
      <c r="F70" s="8"/>
      <c r="G70" s="8"/>
      <c r="H70" s="1"/>
      <c r="I70" s="2"/>
      <c r="J70" s="1"/>
      <c r="K70" s="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customFormat="false" ht="15.75" hidden="false" customHeight="true" outlineLevel="0" collapsed="false">
      <c r="A71" s="1"/>
      <c r="B71" s="1"/>
      <c r="C71" s="1"/>
      <c r="D71" s="1"/>
      <c r="E71" s="1"/>
      <c r="F71" s="8"/>
      <c r="G71" s="8"/>
      <c r="H71" s="1"/>
      <c r="I71" s="2"/>
      <c r="J71" s="1"/>
      <c r="K71" s="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customFormat="false" ht="15.75" hidden="false" customHeight="true" outlineLevel="0" collapsed="false">
      <c r="A72" s="1"/>
      <c r="B72" s="1"/>
      <c r="C72" s="1"/>
      <c r="D72" s="1"/>
      <c r="E72" s="1"/>
      <c r="F72" s="8"/>
      <c r="G72" s="8"/>
      <c r="H72" s="1"/>
      <c r="I72" s="2"/>
      <c r="J72" s="1"/>
      <c r="K72" s="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customFormat="false" ht="15.75" hidden="false" customHeight="true" outlineLevel="0" collapsed="false">
      <c r="A73" s="1"/>
      <c r="B73" s="1"/>
      <c r="C73" s="1"/>
      <c r="D73" s="1"/>
      <c r="E73" s="1"/>
      <c r="F73" s="8"/>
      <c r="G73" s="8"/>
      <c r="H73" s="1"/>
      <c r="I73" s="2"/>
      <c r="J73" s="1"/>
      <c r="K73" s="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customFormat="false" ht="15.75" hidden="false" customHeight="true" outlineLevel="0" collapsed="false">
      <c r="A74" s="1"/>
      <c r="B74" s="1"/>
      <c r="C74" s="1"/>
      <c r="D74" s="1"/>
      <c r="E74" s="1"/>
      <c r="F74" s="8"/>
      <c r="G74" s="8"/>
      <c r="H74" s="1"/>
      <c r="I74" s="2"/>
      <c r="J74" s="1"/>
      <c r="K74" s="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customFormat="false" ht="15.75" hidden="false" customHeight="true" outlineLevel="0" collapsed="false">
      <c r="A75" s="1"/>
      <c r="B75" s="1"/>
      <c r="C75" s="1"/>
      <c r="D75" s="1"/>
      <c r="E75" s="1"/>
      <c r="F75" s="8"/>
      <c r="G75" s="8"/>
      <c r="H75" s="1"/>
      <c r="I75" s="2"/>
      <c r="J75" s="1"/>
      <c r="K75" s="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customFormat="false" ht="15.75" hidden="false" customHeight="true" outlineLevel="0" collapsed="false">
      <c r="A76" s="1"/>
      <c r="B76" s="1"/>
      <c r="C76" s="1"/>
      <c r="D76" s="1"/>
      <c r="E76" s="1"/>
      <c r="F76" s="8"/>
      <c r="G76" s="8"/>
      <c r="H76" s="1"/>
      <c r="I76" s="2"/>
      <c r="J76" s="1"/>
      <c r="K76" s="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2"/>
      <c r="J77" s="1"/>
      <c r="K77" s="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2"/>
      <c r="J78" s="1"/>
      <c r="K78" s="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2"/>
      <c r="J79" s="1"/>
      <c r="K79" s="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2"/>
      <c r="J80" s="1"/>
      <c r="K80" s="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2"/>
      <c r="J81" s="1"/>
      <c r="K81" s="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2"/>
      <c r="J82" s="1"/>
      <c r="K82" s="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2"/>
      <c r="J83" s="1"/>
      <c r="K83" s="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2"/>
      <c r="J84" s="1"/>
      <c r="K84" s="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2"/>
      <c r="J85" s="1"/>
      <c r="K85" s="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2"/>
      <c r="J86" s="1"/>
      <c r="K86" s="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2"/>
      <c r="J87" s="1"/>
      <c r="K87" s="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2"/>
      <c r="J88" s="1"/>
      <c r="K88" s="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2"/>
      <c r="J89" s="1"/>
      <c r="K89" s="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2"/>
      <c r="J90" s="1"/>
      <c r="K90" s="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2"/>
      <c r="J91" s="1"/>
      <c r="K91" s="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2"/>
      <c r="J92" s="1"/>
      <c r="K92" s="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2"/>
      <c r="J93" s="1"/>
      <c r="K93" s="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2"/>
      <c r="J94" s="1"/>
      <c r="K94" s="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2"/>
      <c r="J95" s="1"/>
      <c r="K95" s="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2"/>
      <c r="J96" s="1"/>
      <c r="K96" s="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2"/>
      <c r="J97" s="1"/>
      <c r="K97" s="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2"/>
      <c r="J98" s="1"/>
      <c r="K98" s="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2"/>
      <c r="J99" s="1"/>
      <c r="K99" s="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2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2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2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2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2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2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2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2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2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2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2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2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2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2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2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2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2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2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2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2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2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2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2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2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2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2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2"/>
      <c r="L252" s="1"/>
      <c r="M252" s="1"/>
      <c r="N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2"/>
      <c r="L253" s="1"/>
      <c r="M253" s="1"/>
      <c r="N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2"/>
      <c r="L254" s="1"/>
      <c r="M254" s="1"/>
      <c r="N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2"/>
      <c r="L255" s="1"/>
      <c r="M255" s="1"/>
      <c r="N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2"/>
      <c r="L256" s="1"/>
      <c r="M256" s="1"/>
      <c r="N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2"/>
      <c r="L257" s="1"/>
      <c r="M257" s="1"/>
      <c r="N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2"/>
      <c r="L258" s="1"/>
      <c r="M258" s="1"/>
      <c r="N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2"/>
      <c r="L259" s="1"/>
      <c r="M259" s="1"/>
      <c r="N259" s="1"/>
    </row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4">
    <mergeCell ref="F2:F3"/>
    <mergeCell ref="H2:J2"/>
    <mergeCell ref="L2:O2"/>
    <mergeCell ref="Q2:S2"/>
    <mergeCell ref="U2:X2"/>
    <mergeCell ref="D3:E3"/>
    <mergeCell ref="B23:D27"/>
    <mergeCell ref="H23:J23"/>
    <mergeCell ref="L23:O23"/>
    <mergeCell ref="Q23:S23"/>
    <mergeCell ref="U23:X23"/>
    <mergeCell ref="B28:D32"/>
    <mergeCell ref="A34:C34"/>
    <mergeCell ref="A36:B36"/>
    <mergeCell ref="A39:B59"/>
    <mergeCell ref="C39:C5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I49:J49"/>
    <mergeCell ref="M49:N49"/>
    <mergeCell ref="I50:J50"/>
    <mergeCell ref="I59:J59"/>
    <mergeCell ref="M59:N59"/>
    <mergeCell ref="M60:N60"/>
    <mergeCell ref="M61:N61"/>
    <mergeCell ref="M62:N62"/>
    <mergeCell ref="M63:N6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sheetData>
    <row r="1" customFormat="false" ht="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  <c r="J1" s="1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15.75" hidden="true" customHeight="true" outlineLevel="0" collapsed="false">
      <c r="A2" s="3" t="s">
        <v>1</v>
      </c>
      <c r="B2" s="4"/>
      <c r="C2" s="5"/>
      <c r="D2" s="5" t="s">
        <v>2</v>
      </c>
      <c r="E2" s="6"/>
      <c r="F2" s="7" t="s">
        <v>3</v>
      </c>
      <c r="G2" s="8"/>
      <c r="H2" s="9" t="s">
        <v>4</v>
      </c>
      <c r="I2" s="9"/>
      <c r="J2" s="9"/>
      <c r="K2" s="10"/>
      <c r="L2" s="11" t="s">
        <v>5</v>
      </c>
      <c r="M2" s="11"/>
      <c r="N2" s="11"/>
      <c r="O2" s="11"/>
      <c r="P2" s="12"/>
      <c r="Q2" s="13" t="s">
        <v>6</v>
      </c>
      <c r="R2" s="13"/>
      <c r="S2" s="13"/>
      <c r="T2" s="14"/>
      <c r="U2" s="15" t="s">
        <v>5</v>
      </c>
      <c r="V2" s="15"/>
      <c r="W2" s="15"/>
      <c r="X2" s="15"/>
    </row>
    <row r="3" customFormat="false" ht="15.75" hidden="false" customHeight="true" outlineLevel="0" collapsed="false">
      <c r="A3" s="16"/>
      <c r="B3" s="17"/>
      <c r="C3" s="18"/>
      <c r="D3" s="19" t="s">
        <v>7</v>
      </c>
      <c r="E3" s="19"/>
      <c r="F3" s="7"/>
      <c r="G3" s="8"/>
      <c r="H3" s="20"/>
      <c r="I3" s="21"/>
      <c r="J3" s="22"/>
      <c r="K3" s="23"/>
      <c r="L3" s="12"/>
      <c r="M3" s="24"/>
      <c r="N3" s="24"/>
      <c r="O3" s="25"/>
      <c r="P3" s="12"/>
      <c r="Q3" s="20"/>
      <c r="R3" s="22"/>
      <c r="S3" s="22"/>
      <c r="T3" s="12"/>
      <c r="U3" s="12"/>
      <c r="V3" s="24"/>
      <c r="W3" s="24"/>
      <c r="X3" s="25"/>
    </row>
    <row r="4" customFormat="false" ht="15.75" hidden="false" customHeight="true" outlineLevel="0" collapsed="false">
      <c r="A4" s="26" t="s">
        <v>8</v>
      </c>
      <c r="B4" s="27"/>
      <c r="C4" s="28"/>
      <c r="D4" s="28"/>
      <c r="E4" s="29" t="n">
        <v>1000</v>
      </c>
      <c r="F4" s="30" t="n">
        <f aca="false">SUM(B4:E4)</f>
        <v>1000</v>
      </c>
      <c r="G4" s="8"/>
      <c r="H4" s="31" t="s">
        <v>9</v>
      </c>
      <c r="I4" s="32" t="s">
        <v>10</v>
      </c>
      <c r="J4" s="33" t="s">
        <v>11</v>
      </c>
      <c r="K4" s="32" t="s">
        <v>12</v>
      </c>
      <c r="L4" s="34" t="s">
        <v>13</v>
      </c>
      <c r="M4" s="34" t="s">
        <v>14</v>
      </c>
      <c r="N4" s="34" t="s">
        <v>15</v>
      </c>
      <c r="O4" s="35" t="s">
        <v>16</v>
      </c>
      <c r="P4" s="12"/>
      <c r="Q4" s="31" t="s">
        <v>9</v>
      </c>
      <c r="R4" s="32" t="s">
        <v>10</v>
      </c>
      <c r="S4" s="33" t="s">
        <v>11</v>
      </c>
      <c r="T4" s="32" t="s">
        <v>12</v>
      </c>
      <c r="U4" s="34" t="s">
        <v>13</v>
      </c>
      <c r="V4" s="34" t="s">
        <v>14</v>
      </c>
      <c r="W4" s="34" t="s">
        <v>15</v>
      </c>
      <c r="X4" s="35" t="s">
        <v>16</v>
      </c>
    </row>
    <row r="5" customFormat="false" ht="15.75" hidden="false" customHeight="true" outlineLevel="0" collapsed="false">
      <c r="A5" s="36"/>
      <c r="B5" s="37"/>
      <c r="C5" s="38"/>
      <c r="D5" s="39" t="n">
        <v>4021</v>
      </c>
      <c r="E5" s="37" t="n">
        <v>300</v>
      </c>
      <c r="F5" s="40" t="n">
        <v>1063</v>
      </c>
      <c r="G5" s="8"/>
      <c r="H5" s="41" t="n">
        <v>23182</v>
      </c>
      <c r="I5" s="42" t="s">
        <v>219</v>
      </c>
      <c r="J5" s="43" t="n">
        <v>2000</v>
      </c>
      <c r="K5" s="48" t="n">
        <v>1800</v>
      </c>
      <c r="L5" s="45" t="n">
        <v>50</v>
      </c>
      <c r="M5" s="48" t="n">
        <f aca="false">K5-L5</f>
        <v>1750</v>
      </c>
      <c r="N5" s="46" t="s">
        <v>50</v>
      </c>
      <c r="O5" s="47" t="s">
        <v>44</v>
      </c>
      <c r="P5" s="12"/>
      <c r="Q5" s="41" t="n">
        <v>24089</v>
      </c>
      <c r="R5" s="42" t="s">
        <v>220</v>
      </c>
      <c r="S5" s="43" t="n">
        <v>300</v>
      </c>
      <c r="T5" s="48" t="n">
        <f aca="false">SUM(S5*90/100)</f>
        <v>270</v>
      </c>
      <c r="U5" s="45" t="n">
        <v>5</v>
      </c>
      <c r="V5" s="48" t="n">
        <f aca="false">T5-U5</f>
        <v>265</v>
      </c>
      <c r="W5" s="46" t="s">
        <v>112</v>
      </c>
      <c r="X5" s="47" t="s">
        <v>39</v>
      </c>
    </row>
    <row r="6" customFormat="false" ht="15.75" hidden="false" customHeight="true" outlineLevel="0" collapsed="false">
      <c r="A6" s="49"/>
      <c r="B6" s="50"/>
      <c r="C6" s="51"/>
      <c r="D6" s="51" t="n">
        <v>265</v>
      </c>
      <c r="E6" s="50" t="n">
        <v>14873</v>
      </c>
      <c r="F6" s="52" t="n">
        <v>301</v>
      </c>
      <c r="G6" s="8"/>
      <c r="H6" s="41"/>
      <c r="I6" s="42"/>
      <c r="J6" s="43"/>
      <c r="K6" s="44" t="n">
        <f aca="false">SUM(J6*90/100)</f>
        <v>0</v>
      </c>
      <c r="L6" s="45"/>
      <c r="M6" s="44" t="n">
        <f aca="false">K6-L6</f>
        <v>0</v>
      </c>
      <c r="N6" s="46"/>
      <c r="O6" s="47"/>
      <c r="P6" s="12"/>
      <c r="Q6" s="41" t="s">
        <v>221</v>
      </c>
      <c r="R6" s="42" t="s">
        <v>98</v>
      </c>
      <c r="S6" s="43" t="n">
        <v>1000</v>
      </c>
      <c r="T6" s="48" t="n">
        <f aca="false">SUM(S6*90/100)</f>
        <v>900</v>
      </c>
      <c r="U6" s="45" t="n">
        <v>50</v>
      </c>
      <c r="V6" s="48" t="n">
        <f aca="false">T6-U6</f>
        <v>850</v>
      </c>
      <c r="W6" s="46" t="s">
        <v>47</v>
      </c>
      <c r="X6" s="47" t="s">
        <v>73</v>
      </c>
    </row>
    <row r="7" customFormat="false" ht="15.75" hidden="false" customHeight="true" outlineLevel="0" collapsed="false">
      <c r="A7" s="53" t="s">
        <v>17</v>
      </c>
      <c r="B7" s="54" t="n">
        <f aca="false">C39</f>
        <v>7501</v>
      </c>
      <c r="C7" s="55" t="n">
        <v>100</v>
      </c>
      <c r="D7" s="56" t="s">
        <v>18</v>
      </c>
      <c r="E7" s="57" t="n">
        <v>0</v>
      </c>
      <c r="F7" s="58" t="n">
        <f aca="false">SUM(A5:F6)</f>
        <v>20823</v>
      </c>
      <c r="G7" s="8"/>
      <c r="H7" s="41"/>
      <c r="I7" s="42"/>
      <c r="J7" s="43"/>
      <c r="K7" s="44" t="n">
        <f aca="false">SUM(J7*90/100)</f>
        <v>0</v>
      </c>
      <c r="L7" s="45"/>
      <c r="M7" s="44" t="n">
        <f aca="false">K7-L7</f>
        <v>0</v>
      </c>
      <c r="N7" s="46"/>
      <c r="O7" s="47"/>
      <c r="P7" s="12"/>
      <c r="Q7" s="126" t="s">
        <v>222</v>
      </c>
      <c r="R7" s="127" t="s">
        <v>183</v>
      </c>
      <c r="S7" s="128" t="n">
        <v>200</v>
      </c>
      <c r="T7" s="129" t="n">
        <f aca="false">SUM(S7*90/100)</f>
        <v>180</v>
      </c>
      <c r="U7" s="130" t="n">
        <v>5</v>
      </c>
      <c r="V7" s="129" t="n">
        <f aca="false">T7-U7</f>
        <v>175</v>
      </c>
      <c r="W7" s="129" t="s">
        <v>47</v>
      </c>
      <c r="X7" s="131" t="s">
        <v>73</v>
      </c>
    </row>
    <row r="8" customFormat="false" ht="15.75" hidden="false" customHeight="true" outlineLevel="0" collapsed="false">
      <c r="A8" s="16" t="s">
        <v>19</v>
      </c>
      <c r="B8" s="57"/>
      <c r="C8" s="55" t="n">
        <v>50</v>
      </c>
      <c r="D8" s="56" t="s">
        <v>18</v>
      </c>
      <c r="E8" s="37" t="n">
        <v>18100</v>
      </c>
      <c r="F8" s="40"/>
      <c r="G8" s="8"/>
      <c r="H8" s="41"/>
      <c r="I8" s="42"/>
      <c r="J8" s="43"/>
      <c r="K8" s="44" t="n">
        <f aca="false">SUM(J8*90/100)</f>
        <v>0</v>
      </c>
      <c r="L8" s="45"/>
      <c r="M8" s="44" t="n">
        <f aca="false">K8-L8</f>
        <v>0</v>
      </c>
      <c r="N8" s="46"/>
      <c r="O8" s="47"/>
      <c r="P8" s="12"/>
      <c r="Q8" s="41" t="n">
        <v>23114</v>
      </c>
      <c r="R8" s="42" t="s">
        <v>223</v>
      </c>
      <c r="S8" s="43" t="n">
        <v>200</v>
      </c>
      <c r="T8" s="48" t="n">
        <f aca="false">SUM(S8*90/100)</f>
        <v>180</v>
      </c>
      <c r="U8" s="45" t="n">
        <v>5</v>
      </c>
      <c r="V8" s="48" t="n">
        <f aca="false">T8-U8</f>
        <v>175</v>
      </c>
      <c r="W8" s="46" t="s">
        <v>112</v>
      </c>
      <c r="X8" s="47" t="s">
        <v>96</v>
      </c>
    </row>
    <row r="9" customFormat="false" ht="15.75" hidden="false" customHeight="true" outlineLevel="0" collapsed="false">
      <c r="A9" s="59" t="s">
        <v>113</v>
      </c>
      <c r="B9" s="17" t="n">
        <v>9640</v>
      </c>
      <c r="C9" s="55" t="n">
        <v>10</v>
      </c>
      <c r="D9" s="56" t="s">
        <v>18</v>
      </c>
      <c r="E9" s="50" t="n">
        <v>1010</v>
      </c>
      <c r="F9" s="40"/>
      <c r="G9" s="8"/>
      <c r="H9" s="41"/>
      <c r="I9" s="42"/>
      <c r="J9" s="43"/>
      <c r="K9" s="44" t="n">
        <f aca="false">SUM(J9*90/100)</f>
        <v>0</v>
      </c>
      <c r="L9" s="45"/>
      <c r="M9" s="44" t="n">
        <f aca="false">K9-L9</f>
        <v>0</v>
      </c>
      <c r="N9" s="46"/>
      <c r="O9" s="47"/>
      <c r="P9" s="12"/>
      <c r="Q9" s="41" t="n">
        <v>23214</v>
      </c>
      <c r="R9" s="42" t="s">
        <v>224</v>
      </c>
      <c r="S9" s="43" t="n">
        <v>2500</v>
      </c>
      <c r="T9" s="48" t="n">
        <f aca="false">SUM(S9*90/100)</f>
        <v>2250</v>
      </c>
      <c r="U9" s="45" t="n">
        <v>5</v>
      </c>
      <c r="V9" s="48" t="n">
        <f aca="false">T9-U9</f>
        <v>2245</v>
      </c>
      <c r="W9" s="46" t="s">
        <v>112</v>
      </c>
      <c r="X9" s="47" t="s">
        <v>96</v>
      </c>
    </row>
    <row r="10" customFormat="false" ht="15.75" hidden="false" customHeight="true" outlineLevel="0" collapsed="false">
      <c r="A10" s="59"/>
      <c r="B10" s="57"/>
      <c r="C10" s="55" t="n">
        <v>5</v>
      </c>
      <c r="D10" s="18" t="s">
        <v>18</v>
      </c>
      <c r="E10" s="50" t="n">
        <v>130</v>
      </c>
      <c r="F10" s="40"/>
      <c r="G10" s="8"/>
      <c r="H10" s="41"/>
      <c r="I10" s="42"/>
      <c r="J10" s="43"/>
      <c r="K10" s="44" t="n">
        <f aca="false">SUM(J10*90/100)</f>
        <v>0</v>
      </c>
      <c r="L10" s="45"/>
      <c r="M10" s="44" t="n">
        <f aca="false">K10-L10</f>
        <v>0</v>
      </c>
      <c r="N10" s="46"/>
      <c r="O10" s="47"/>
      <c r="P10" s="12"/>
      <c r="Q10" s="41" t="n">
        <v>24113</v>
      </c>
      <c r="R10" s="42" t="s">
        <v>225</v>
      </c>
      <c r="S10" s="43" t="n">
        <v>700</v>
      </c>
      <c r="T10" s="48" t="n">
        <f aca="false">SUM(S10*90/100)</f>
        <v>630</v>
      </c>
      <c r="U10" s="45" t="n">
        <v>5</v>
      </c>
      <c r="V10" s="48" t="n">
        <f aca="false">T10-U10</f>
        <v>625</v>
      </c>
      <c r="W10" s="46" t="s">
        <v>112</v>
      </c>
      <c r="X10" s="47" t="s">
        <v>96</v>
      </c>
    </row>
    <row r="11" customFormat="false" ht="15.75" hidden="false" customHeight="true" outlineLevel="0" collapsed="false">
      <c r="A11" s="59"/>
      <c r="B11" s="57"/>
      <c r="C11" s="55" t="n">
        <v>1</v>
      </c>
      <c r="D11" s="60" t="s">
        <v>18</v>
      </c>
      <c r="E11" s="50" t="n">
        <v>72</v>
      </c>
      <c r="F11" s="40"/>
      <c r="G11" s="8"/>
      <c r="H11" s="41"/>
      <c r="I11" s="42"/>
      <c r="J11" s="43"/>
      <c r="K11" s="44" t="n">
        <f aca="false">SUM(J11*90/100)</f>
        <v>0</v>
      </c>
      <c r="L11" s="45"/>
      <c r="M11" s="44" t="n">
        <f aca="false">K11-L11</f>
        <v>0</v>
      </c>
      <c r="N11" s="46"/>
      <c r="O11" s="47"/>
      <c r="P11" s="12"/>
      <c r="Q11" s="41" t="n">
        <v>24096</v>
      </c>
      <c r="R11" s="42" t="s">
        <v>103</v>
      </c>
      <c r="S11" s="43" t="n">
        <v>250</v>
      </c>
      <c r="T11" s="48" t="n">
        <f aca="false">SUM(S11*90/100)</f>
        <v>225</v>
      </c>
      <c r="U11" s="45" t="n">
        <v>5</v>
      </c>
      <c r="V11" s="48" t="n">
        <f aca="false">T11-U11</f>
        <v>220</v>
      </c>
      <c r="W11" s="46" t="s">
        <v>112</v>
      </c>
      <c r="X11" s="47" t="s">
        <v>96</v>
      </c>
    </row>
    <row r="12" customFormat="false" ht="15.75" hidden="false" customHeight="true" outlineLevel="0" collapsed="false">
      <c r="A12" s="59"/>
      <c r="B12" s="57"/>
      <c r="C12" s="61" t="s">
        <v>20</v>
      </c>
      <c r="D12" s="56" t="s">
        <v>18</v>
      </c>
      <c r="E12" s="62" t="n">
        <f aca="false">SUM(E7:E11)</f>
        <v>19312</v>
      </c>
      <c r="F12" s="40"/>
      <c r="G12" s="8"/>
      <c r="H12" s="41"/>
      <c r="I12" s="42"/>
      <c r="J12" s="43"/>
      <c r="K12" s="44" t="n">
        <f aca="false">SUM(J12*90/100)</f>
        <v>0</v>
      </c>
      <c r="L12" s="45"/>
      <c r="M12" s="44" t="n">
        <f aca="false">K12-L12</f>
        <v>0</v>
      </c>
      <c r="N12" s="46"/>
      <c r="O12" s="47"/>
      <c r="P12" s="12"/>
      <c r="Q12" s="41" t="s">
        <v>100</v>
      </c>
      <c r="R12" s="42" t="s">
        <v>101</v>
      </c>
      <c r="S12" s="43" t="n">
        <v>1200</v>
      </c>
      <c r="T12" s="48" t="n">
        <f aca="false">SUM(S12*90/100)</f>
        <v>1080</v>
      </c>
      <c r="U12" s="45" t="n">
        <v>50</v>
      </c>
      <c r="V12" s="48" t="n">
        <f aca="false">T12-U12</f>
        <v>1030</v>
      </c>
      <c r="W12" s="46" t="s">
        <v>112</v>
      </c>
      <c r="X12" s="47" t="s">
        <v>96</v>
      </c>
    </row>
    <row r="13" customFormat="false" ht="15.75" hidden="false" customHeight="true" outlineLevel="0" collapsed="false">
      <c r="A13" s="59"/>
      <c r="B13" s="17"/>
      <c r="C13" s="63"/>
      <c r="D13" s="18"/>
      <c r="E13" s="17"/>
      <c r="F13" s="40"/>
      <c r="G13" s="8"/>
      <c r="H13" s="41"/>
      <c r="I13" s="42"/>
      <c r="J13" s="43"/>
      <c r="K13" s="44" t="n">
        <f aca="false">SUM(J13*90/100)</f>
        <v>0</v>
      </c>
      <c r="L13" s="45"/>
      <c r="M13" s="44" t="n">
        <f aca="false">K13-L13</f>
        <v>0</v>
      </c>
      <c r="N13" s="46"/>
      <c r="O13" s="47"/>
      <c r="P13" s="12"/>
      <c r="Q13" s="41" t="n">
        <v>24092</v>
      </c>
      <c r="R13" s="42" t="s">
        <v>226</v>
      </c>
      <c r="S13" s="43" t="n">
        <v>300</v>
      </c>
      <c r="T13" s="48" t="n">
        <f aca="false">SUM(S13*90/100)</f>
        <v>270</v>
      </c>
      <c r="U13" s="45" t="n">
        <v>5</v>
      </c>
      <c r="V13" s="48" t="n">
        <f aca="false">T13-U13</f>
        <v>265</v>
      </c>
      <c r="W13" s="46" t="s">
        <v>112</v>
      </c>
      <c r="X13" s="47" t="s">
        <v>44</v>
      </c>
    </row>
    <row r="14" customFormat="false" ht="15.75" hidden="false" customHeight="true" outlineLevel="0" collapsed="false">
      <c r="A14" s="59"/>
      <c r="B14" s="17"/>
      <c r="C14" s="63"/>
      <c r="D14" s="18"/>
      <c r="E14" s="17"/>
      <c r="F14" s="40"/>
      <c r="G14" s="8"/>
      <c r="H14" s="41"/>
      <c r="I14" s="42"/>
      <c r="J14" s="43"/>
      <c r="K14" s="44" t="n">
        <f aca="false">SUM(J14*90/100)</f>
        <v>0</v>
      </c>
      <c r="L14" s="45"/>
      <c r="M14" s="44" t="n">
        <f aca="false">K14-L14</f>
        <v>0</v>
      </c>
      <c r="N14" s="46"/>
      <c r="O14" s="47"/>
      <c r="P14" s="12"/>
      <c r="Q14" s="41"/>
      <c r="R14" s="42"/>
      <c r="S14" s="43"/>
      <c r="T14" s="48"/>
      <c r="U14" s="45"/>
      <c r="V14" s="48"/>
      <c r="W14" s="46"/>
      <c r="X14" s="47"/>
    </row>
    <row r="15" customFormat="false" ht="15.75" hidden="false" customHeight="true" outlineLevel="0" collapsed="false">
      <c r="A15" s="59"/>
      <c r="B15" s="17"/>
      <c r="C15" s="63"/>
      <c r="D15" s="18"/>
      <c r="E15" s="17"/>
      <c r="F15" s="40"/>
      <c r="G15" s="8"/>
      <c r="H15" s="41"/>
      <c r="I15" s="42"/>
      <c r="J15" s="43"/>
      <c r="K15" s="44" t="n">
        <f aca="false">SUM(J15*90/100)</f>
        <v>0</v>
      </c>
      <c r="L15" s="45"/>
      <c r="M15" s="44" t="n">
        <f aca="false">K15-L15</f>
        <v>0</v>
      </c>
      <c r="N15" s="46"/>
      <c r="O15" s="47"/>
      <c r="P15" s="12"/>
      <c r="Q15" s="41"/>
      <c r="R15" s="42"/>
      <c r="S15" s="43"/>
      <c r="T15" s="48" t="n">
        <f aca="false">SUM(S15*90/100)</f>
        <v>0</v>
      </c>
      <c r="U15" s="45"/>
      <c r="V15" s="48" t="n">
        <f aca="false">T15-U15</f>
        <v>0</v>
      </c>
      <c r="W15" s="46"/>
      <c r="X15" s="47"/>
    </row>
    <row r="16" customFormat="false" ht="15.75" hidden="false" customHeight="true" outlineLevel="0" collapsed="false">
      <c r="A16" s="59"/>
      <c r="B16" s="17"/>
      <c r="C16" s="63"/>
      <c r="D16" s="18"/>
      <c r="E16" s="17"/>
      <c r="F16" s="40"/>
      <c r="G16" s="8"/>
      <c r="H16" s="41"/>
      <c r="I16" s="42"/>
      <c r="J16" s="43"/>
      <c r="K16" s="44" t="n">
        <f aca="false">SUM(J16*90/100)</f>
        <v>0</v>
      </c>
      <c r="L16" s="45"/>
      <c r="M16" s="44" t="n">
        <f aca="false">K16-L16</f>
        <v>0</v>
      </c>
      <c r="N16" s="46"/>
      <c r="O16" s="47"/>
      <c r="P16" s="12"/>
      <c r="Q16" s="41"/>
      <c r="R16" s="42"/>
      <c r="S16" s="43"/>
      <c r="T16" s="48" t="n">
        <f aca="false">SUM(S16*90/100)</f>
        <v>0</v>
      </c>
      <c r="U16" s="45"/>
      <c r="V16" s="48" t="n">
        <f aca="false">T16-U16</f>
        <v>0</v>
      </c>
      <c r="W16" s="46"/>
      <c r="X16" s="47"/>
    </row>
    <row r="17" customFormat="false" ht="15.75" hidden="false" customHeight="true" outlineLevel="0" collapsed="false">
      <c r="A17" s="59"/>
      <c r="B17" s="17"/>
      <c r="C17" s="63"/>
      <c r="D17" s="18"/>
      <c r="E17" s="17"/>
      <c r="F17" s="40"/>
      <c r="G17" s="8"/>
      <c r="H17" s="41"/>
      <c r="I17" s="42"/>
      <c r="J17" s="43"/>
      <c r="K17" s="44" t="n">
        <f aca="false">SUM(J17*90/100)</f>
        <v>0</v>
      </c>
      <c r="L17" s="45"/>
      <c r="M17" s="44" t="n">
        <f aca="false">K17-L17</f>
        <v>0</v>
      </c>
      <c r="N17" s="46"/>
      <c r="O17" s="47"/>
      <c r="P17" s="12"/>
      <c r="Q17" s="41"/>
      <c r="R17" s="42"/>
      <c r="S17" s="43"/>
      <c r="T17" s="48" t="n">
        <f aca="false">SUM(S17*90/100)</f>
        <v>0</v>
      </c>
      <c r="U17" s="45"/>
      <c r="V17" s="48" t="n">
        <f aca="false">T17-U17</f>
        <v>0</v>
      </c>
      <c r="W17" s="46"/>
      <c r="X17" s="47"/>
    </row>
    <row r="18" customFormat="false" ht="15.75" hidden="false" customHeight="true" outlineLevel="0" collapsed="false">
      <c r="A18" s="59"/>
      <c r="B18" s="17"/>
      <c r="C18" s="63"/>
      <c r="D18" s="18"/>
      <c r="E18" s="17"/>
      <c r="F18" s="40"/>
      <c r="G18" s="8"/>
      <c r="H18" s="41"/>
      <c r="I18" s="42"/>
      <c r="J18" s="43"/>
      <c r="K18" s="44" t="n">
        <f aca="false">SUM(J18*90/100)</f>
        <v>0</v>
      </c>
      <c r="L18" s="45"/>
      <c r="M18" s="44" t="n">
        <f aca="false">K18-L18</f>
        <v>0</v>
      </c>
      <c r="N18" s="46"/>
      <c r="O18" s="47"/>
      <c r="P18" s="12"/>
      <c r="Q18" s="41"/>
      <c r="R18" s="42"/>
      <c r="S18" s="43"/>
      <c r="T18" s="48" t="n">
        <f aca="false">SUM(S18*90/100)</f>
        <v>0</v>
      </c>
      <c r="U18" s="45"/>
      <c r="V18" s="48" t="n">
        <f aca="false">T18-U18</f>
        <v>0</v>
      </c>
      <c r="W18" s="46"/>
      <c r="X18" s="47"/>
    </row>
    <row r="19" customFormat="false" ht="15.75" hidden="false" customHeight="true" outlineLevel="0" collapsed="false">
      <c r="A19" s="59"/>
      <c r="B19" s="17"/>
      <c r="C19" s="63"/>
      <c r="D19" s="18"/>
      <c r="E19" s="17"/>
      <c r="F19" s="40"/>
      <c r="G19" s="8"/>
      <c r="H19" s="41"/>
      <c r="I19" s="42"/>
      <c r="J19" s="43"/>
      <c r="K19" s="44" t="n">
        <f aca="false">SUM(J19*90/100)</f>
        <v>0</v>
      </c>
      <c r="L19" s="45"/>
      <c r="M19" s="44" t="n">
        <f aca="false">K19-L19</f>
        <v>0</v>
      </c>
      <c r="N19" s="46"/>
      <c r="O19" s="47"/>
      <c r="P19" s="12"/>
      <c r="Q19" s="41"/>
      <c r="R19" s="42"/>
      <c r="S19" s="43"/>
      <c r="T19" s="48" t="n">
        <f aca="false">SUM(S19*90/100)</f>
        <v>0</v>
      </c>
      <c r="U19" s="45"/>
      <c r="V19" s="48" t="n">
        <f aca="false">T19-U19</f>
        <v>0</v>
      </c>
      <c r="W19" s="46"/>
      <c r="X19" s="47"/>
    </row>
    <row r="20" customFormat="false" ht="15.75" hidden="false" customHeight="true" outlineLevel="0" collapsed="false">
      <c r="A20" s="59"/>
      <c r="B20" s="17"/>
      <c r="C20" s="63"/>
      <c r="D20" s="18"/>
      <c r="E20" s="17"/>
      <c r="F20" s="40"/>
      <c r="G20" s="8"/>
      <c r="H20" s="41"/>
      <c r="I20" s="42"/>
      <c r="J20" s="43"/>
      <c r="K20" s="44" t="n">
        <f aca="false">SUM(J20*90/100)</f>
        <v>0</v>
      </c>
      <c r="L20" s="45"/>
      <c r="M20" s="44" t="n">
        <f aca="false">K20-L20</f>
        <v>0</v>
      </c>
      <c r="N20" s="46"/>
      <c r="O20" s="47"/>
      <c r="P20" s="12"/>
      <c r="Q20" s="41"/>
      <c r="R20" s="42"/>
      <c r="S20" s="43"/>
      <c r="T20" s="48" t="n">
        <f aca="false">SUM(S20*90/100)</f>
        <v>0</v>
      </c>
      <c r="U20" s="45"/>
      <c r="V20" s="48" t="n">
        <f aca="false">T20-U20</f>
        <v>0</v>
      </c>
      <c r="W20" s="46"/>
      <c r="X20" s="47"/>
    </row>
    <row r="21" customFormat="false" ht="15.75" hidden="false" customHeight="true" outlineLevel="0" collapsed="false">
      <c r="A21" s="64" t="s">
        <v>21</v>
      </c>
      <c r="B21" s="65" t="n">
        <f aca="false">SUM(B9:B20)</f>
        <v>9640</v>
      </c>
      <c r="C21" s="66"/>
      <c r="D21" s="67" t="s">
        <v>22</v>
      </c>
      <c r="E21" s="68" t="n">
        <f aca="false">F4+F7+E12</f>
        <v>41135</v>
      </c>
      <c r="F21" s="69"/>
      <c r="G21" s="8"/>
      <c r="H21" s="70"/>
      <c r="I21" s="71"/>
      <c r="J21" s="72" t="n">
        <f aca="false">SUM(J5:J20)</f>
        <v>2000</v>
      </c>
      <c r="K21" s="73" t="n">
        <f aca="false">SUM(K5:K20)</f>
        <v>1800</v>
      </c>
      <c r="L21" s="72" t="n">
        <f aca="false">SUM(L5:L20)</f>
        <v>50</v>
      </c>
      <c r="M21" s="74" t="n">
        <f aca="false">K21-L21</f>
        <v>1750</v>
      </c>
      <c r="N21" s="75"/>
      <c r="O21" s="76"/>
      <c r="P21" s="12"/>
      <c r="Q21" s="70"/>
      <c r="R21" s="75"/>
      <c r="S21" s="72" t="n">
        <f aca="false">SUM(S5:S20)</f>
        <v>6650</v>
      </c>
      <c r="T21" s="77" t="n">
        <f aca="false">SUM(T5:T20)</f>
        <v>5985</v>
      </c>
      <c r="U21" s="72" t="n">
        <f aca="false">SUM(U5:U20)</f>
        <v>135</v>
      </c>
      <c r="V21" s="78" t="n">
        <f aca="false">T21-U21</f>
        <v>5850</v>
      </c>
      <c r="W21" s="75"/>
      <c r="X21" s="76"/>
    </row>
    <row r="22" customFormat="false" ht="15.75" hidden="false" customHeight="true" outlineLevel="0" collapsed="false">
      <c r="A22" s="8"/>
      <c r="B22" s="79"/>
      <c r="C22" s="80"/>
      <c r="D22" s="81"/>
      <c r="E22" s="79"/>
      <c r="F22" s="8"/>
      <c r="G22" s="8"/>
      <c r="H22" s="24"/>
      <c r="I22" s="82"/>
      <c r="J22" s="24"/>
      <c r="K22" s="23"/>
      <c r="L22" s="12"/>
      <c r="M22" s="24"/>
      <c r="N22" s="24"/>
      <c r="O22" s="12"/>
      <c r="P22" s="12"/>
      <c r="Q22" s="83"/>
      <c r="R22" s="83"/>
      <c r="S22" s="83"/>
      <c r="T22" s="83"/>
      <c r="U22" s="83"/>
      <c r="V22" s="83"/>
      <c r="W22" s="83"/>
      <c r="X22" s="83"/>
    </row>
    <row r="23" customFormat="false" ht="15.75" hidden="false" customHeight="true" outlineLevel="0" collapsed="false">
      <c r="A23" s="8"/>
      <c r="B23" s="84" t="s">
        <v>23</v>
      </c>
      <c r="C23" s="84"/>
      <c r="D23" s="84"/>
      <c r="E23" s="79"/>
      <c r="F23" s="8"/>
      <c r="G23" s="8"/>
      <c r="H23" s="9" t="s">
        <v>24</v>
      </c>
      <c r="I23" s="9"/>
      <c r="J23" s="9"/>
      <c r="K23" s="10"/>
      <c r="L23" s="11" t="s">
        <v>5</v>
      </c>
      <c r="M23" s="11"/>
      <c r="N23" s="11"/>
      <c r="O23" s="11"/>
      <c r="P23" s="12"/>
      <c r="Q23" s="13" t="s">
        <v>25</v>
      </c>
      <c r="R23" s="13"/>
      <c r="S23" s="13"/>
      <c r="T23" s="85"/>
      <c r="U23" s="11" t="s">
        <v>5</v>
      </c>
      <c r="V23" s="11"/>
      <c r="W23" s="11"/>
      <c r="X23" s="11"/>
    </row>
    <row r="24" customFormat="false" ht="15.75" hidden="false" customHeight="true" outlineLevel="0" collapsed="false">
      <c r="A24" s="8"/>
      <c r="B24" s="84"/>
      <c r="C24" s="84"/>
      <c r="D24" s="84"/>
      <c r="E24" s="79"/>
      <c r="F24" s="8"/>
      <c r="G24" s="8"/>
      <c r="H24" s="20"/>
      <c r="I24" s="21"/>
      <c r="J24" s="22"/>
      <c r="K24" s="23"/>
      <c r="L24" s="12"/>
      <c r="M24" s="24"/>
      <c r="N24" s="24"/>
      <c r="O24" s="25"/>
      <c r="P24" s="12"/>
      <c r="Q24" s="20"/>
      <c r="R24" s="22"/>
      <c r="S24" s="22"/>
      <c r="T24" s="12"/>
      <c r="U24" s="12"/>
      <c r="V24" s="24"/>
      <c r="W24" s="24"/>
      <c r="X24" s="25"/>
    </row>
    <row r="25" customFormat="false" ht="15.75" hidden="false" customHeight="true" outlineLevel="0" collapsed="false">
      <c r="A25" s="8"/>
      <c r="B25" s="84"/>
      <c r="C25" s="84"/>
      <c r="D25" s="84"/>
      <c r="E25" s="79"/>
      <c r="F25" s="8"/>
      <c r="G25" s="8"/>
      <c r="H25" s="86" t="s">
        <v>9</v>
      </c>
      <c r="I25" s="87" t="s">
        <v>10</v>
      </c>
      <c r="J25" s="33" t="s">
        <v>11</v>
      </c>
      <c r="K25" s="87" t="s">
        <v>12</v>
      </c>
      <c r="L25" s="88" t="s">
        <v>13</v>
      </c>
      <c r="M25" s="88" t="s">
        <v>14</v>
      </c>
      <c r="N25" s="88" t="s">
        <v>15</v>
      </c>
      <c r="O25" s="89" t="s">
        <v>16</v>
      </c>
      <c r="P25" s="12"/>
      <c r="Q25" s="86" t="s">
        <v>9</v>
      </c>
      <c r="R25" s="87" t="s">
        <v>10</v>
      </c>
      <c r="S25" s="33" t="s">
        <v>11</v>
      </c>
      <c r="T25" s="87" t="s">
        <v>12</v>
      </c>
      <c r="U25" s="88" t="s">
        <v>13</v>
      </c>
      <c r="V25" s="88" t="s">
        <v>14</v>
      </c>
      <c r="W25" s="88" t="s">
        <v>15</v>
      </c>
      <c r="X25" s="89" t="s">
        <v>16</v>
      </c>
    </row>
    <row r="26" customFormat="false" ht="15.75" hidden="false" customHeight="true" outlineLevel="0" collapsed="false">
      <c r="A26" s="8"/>
      <c r="B26" s="84"/>
      <c r="C26" s="84"/>
      <c r="D26" s="84"/>
      <c r="E26" s="79"/>
      <c r="F26" s="8"/>
      <c r="G26" s="8"/>
      <c r="H26" s="41"/>
      <c r="I26" s="42"/>
      <c r="J26" s="43"/>
      <c r="K26" s="90" t="n">
        <f aca="false">SUM(J26*90/100)</f>
        <v>0</v>
      </c>
      <c r="L26" s="45"/>
      <c r="M26" s="44" t="n">
        <f aca="false">K26-L26</f>
        <v>0</v>
      </c>
      <c r="N26" s="46"/>
      <c r="O26" s="47"/>
      <c r="P26" s="12"/>
      <c r="Q26" s="41" t="s">
        <v>227</v>
      </c>
      <c r="R26" s="42" t="s">
        <v>178</v>
      </c>
      <c r="S26" s="43" t="n">
        <v>1300</v>
      </c>
      <c r="T26" s="48" t="n">
        <f aca="false">S26*90/100</f>
        <v>1170</v>
      </c>
      <c r="U26" s="45" t="n">
        <v>50</v>
      </c>
      <c r="V26" s="48" t="n">
        <f aca="false">T26-U26</f>
        <v>1120</v>
      </c>
      <c r="W26" s="46" t="s">
        <v>112</v>
      </c>
      <c r="X26" s="47" t="s">
        <v>96</v>
      </c>
    </row>
    <row r="27" customFormat="false" ht="15.75" hidden="false" customHeight="true" outlineLevel="0" collapsed="false">
      <c r="A27" s="8"/>
      <c r="B27" s="84"/>
      <c r="C27" s="84"/>
      <c r="D27" s="84"/>
      <c r="E27" s="79"/>
      <c r="F27" s="8"/>
      <c r="G27" s="8"/>
      <c r="H27" s="41"/>
      <c r="I27" s="42"/>
      <c r="J27" s="43"/>
      <c r="K27" s="90" t="n">
        <f aca="false">SUM(J27*90/100)</f>
        <v>0</v>
      </c>
      <c r="L27" s="45"/>
      <c r="M27" s="44" t="n">
        <f aca="false">K27-L27</f>
        <v>0</v>
      </c>
      <c r="N27" s="46"/>
      <c r="O27" s="47"/>
      <c r="P27" s="12"/>
      <c r="Q27" s="41"/>
      <c r="R27" s="42"/>
      <c r="S27" s="43"/>
      <c r="T27" s="48" t="n">
        <f aca="false">S27*90/100</f>
        <v>0</v>
      </c>
      <c r="U27" s="45"/>
      <c r="V27" s="48" t="n">
        <f aca="false">T27-U27</f>
        <v>0</v>
      </c>
      <c r="W27" s="46"/>
      <c r="X27" s="47"/>
    </row>
    <row r="28" customFormat="false" ht="15.75" hidden="false" customHeight="true" outlineLevel="0" collapsed="false">
      <c r="A28" s="8"/>
      <c r="B28" s="91" t="n">
        <f aca="false">E21-B7-B21-M21-M36-V21-V36</f>
        <v>15274</v>
      </c>
      <c r="C28" s="91"/>
      <c r="D28" s="91"/>
      <c r="E28" s="79"/>
      <c r="F28" s="8"/>
      <c r="G28" s="8"/>
      <c r="H28" s="41"/>
      <c r="I28" s="42"/>
      <c r="J28" s="43"/>
      <c r="K28" s="90" t="n">
        <f aca="false">SUM(J28*90/100)</f>
        <v>0</v>
      </c>
      <c r="L28" s="45"/>
      <c r="M28" s="44" t="n">
        <f aca="false">K28-L28</f>
        <v>0</v>
      </c>
      <c r="N28" s="46"/>
      <c r="O28" s="47"/>
      <c r="P28" s="12"/>
      <c r="Q28" s="41"/>
      <c r="R28" s="42"/>
      <c r="S28" s="43"/>
      <c r="T28" s="48" t="n">
        <f aca="false">S28*90/100</f>
        <v>0</v>
      </c>
      <c r="U28" s="45"/>
      <c r="V28" s="48" t="n">
        <f aca="false">T28-U28</f>
        <v>0</v>
      </c>
      <c r="W28" s="46"/>
      <c r="X28" s="47"/>
    </row>
    <row r="29" customFormat="false" ht="15.75" hidden="false" customHeight="true" outlineLevel="0" collapsed="false">
      <c r="A29" s="8"/>
      <c r="B29" s="91"/>
      <c r="C29" s="91"/>
      <c r="D29" s="91"/>
      <c r="E29" s="79"/>
      <c r="F29" s="8"/>
      <c r="G29" s="8"/>
      <c r="H29" s="41"/>
      <c r="I29" s="42"/>
      <c r="J29" s="43"/>
      <c r="K29" s="90" t="n">
        <f aca="false">SUM(J29*90/100)</f>
        <v>0</v>
      </c>
      <c r="L29" s="45"/>
      <c r="M29" s="44" t="n">
        <f aca="false">K29-L29</f>
        <v>0</v>
      </c>
      <c r="N29" s="46"/>
      <c r="O29" s="47"/>
      <c r="P29" s="12"/>
      <c r="Q29" s="41"/>
      <c r="R29" s="42"/>
      <c r="S29" s="43"/>
      <c r="T29" s="48" t="n">
        <f aca="false">S29*90/100</f>
        <v>0</v>
      </c>
      <c r="U29" s="45"/>
      <c r="V29" s="48" t="n">
        <f aca="false">T29-U29</f>
        <v>0</v>
      </c>
      <c r="W29" s="46"/>
      <c r="X29" s="47"/>
    </row>
    <row r="30" customFormat="false" ht="15.75" hidden="false" customHeight="true" outlineLevel="0" collapsed="false">
      <c r="A30" s="8"/>
      <c r="B30" s="91"/>
      <c r="C30" s="91"/>
      <c r="D30" s="91"/>
      <c r="E30" s="79"/>
      <c r="F30" s="8"/>
      <c r="G30" s="8"/>
      <c r="H30" s="41"/>
      <c r="I30" s="42"/>
      <c r="J30" s="43"/>
      <c r="K30" s="90" t="n">
        <f aca="false">SUM(J30*90/100)</f>
        <v>0</v>
      </c>
      <c r="L30" s="45"/>
      <c r="M30" s="44" t="n">
        <f aca="false">K30-L30</f>
        <v>0</v>
      </c>
      <c r="N30" s="46"/>
      <c r="O30" s="47"/>
      <c r="P30" s="12"/>
      <c r="Q30" s="41"/>
      <c r="R30" s="42"/>
      <c r="S30" s="43"/>
      <c r="T30" s="48" t="n">
        <f aca="false">S30*90/100</f>
        <v>0</v>
      </c>
      <c r="U30" s="45"/>
      <c r="V30" s="48" t="n">
        <f aca="false">T30-U30</f>
        <v>0</v>
      </c>
      <c r="W30" s="46"/>
      <c r="X30" s="47"/>
    </row>
    <row r="31" customFormat="false" ht="15.75" hidden="false" customHeight="true" outlineLevel="0" collapsed="false">
      <c r="A31" s="8"/>
      <c r="B31" s="91"/>
      <c r="C31" s="91"/>
      <c r="D31" s="91"/>
      <c r="E31" s="79"/>
      <c r="F31" s="8"/>
      <c r="G31" s="8"/>
      <c r="H31" s="41"/>
      <c r="I31" s="42"/>
      <c r="J31" s="43"/>
      <c r="K31" s="90" t="n">
        <f aca="false">SUM(J31*90/100)</f>
        <v>0</v>
      </c>
      <c r="L31" s="45"/>
      <c r="M31" s="44" t="n">
        <f aca="false">K31-L31</f>
        <v>0</v>
      </c>
      <c r="N31" s="46"/>
      <c r="O31" s="47"/>
      <c r="P31" s="12"/>
      <c r="Q31" s="41"/>
      <c r="R31" s="42"/>
      <c r="S31" s="43"/>
      <c r="T31" s="48" t="n">
        <f aca="false">S31*90/100</f>
        <v>0</v>
      </c>
      <c r="U31" s="45"/>
      <c r="V31" s="48" t="n">
        <f aca="false">T31-U31</f>
        <v>0</v>
      </c>
      <c r="W31" s="46"/>
      <c r="X31" s="47"/>
    </row>
    <row r="32" customFormat="false" ht="15.75" hidden="false" customHeight="true" outlineLevel="0" collapsed="false">
      <c r="A32" s="1"/>
      <c r="B32" s="91"/>
      <c r="C32" s="91"/>
      <c r="D32" s="91"/>
      <c r="E32" s="1"/>
      <c r="F32" s="8"/>
      <c r="G32" s="8"/>
      <c r="H32" s="41"/>
      <c r="I32" s="42"/>
      <c r="J32" s="43"/>
      <c r="K32" s="90" t="n">
        <f aca="false">SUM(J32*90/100)</f>
        <v>0</v>
      </c>
      <c r="L32" s="45"/>
      <c r="M32" s="44" t="n">
        <f aca="false">K32-L32</f>
        <v>0</v>
      </c>
      <c r="N32" s="46"/>
      <c r="O32" s="47"/>
      <c r="P32" s="12"/>
      <c r="Q32" s="41"/>
      <c r="R32" s="42"/>
      <c r="S32" s="43"/>
      <c r="T32" s="48" t="n">
        <f aca="false">S32*90/100</f>
        <v>0</v>
      </c>
      <c r="U32" s="45"/>
      <c r="V32" s="48" t="n">
        <f aca="false">T32-U32</f>
        <v>0</v>
      </c>
      <c r="W32" s="46"/>
      <c r="X32" s="47"/>
    </row>
    <row r="33" customFormat="false" ht="15.75" hidden="false" customHeight="true" outlineLevel="0" collapsed="false">
      <c r="A33" s="1"/>
      <c r="B33" s="1"/>
      <c r="C33" s="1"/>
      <c r="D33" s="1"/>
      <c r="E33" s="1"/>
      <c r="F33" s="8"/>
      <c r="G33" s="8"/>
      <c r="H33" s="41"/>
      <c r="I33" s="42"/>
      <c r="J33" s="43"/>
      <c r="K33" s="90" t="n">
        <f aca="false">SUM(J33*90/100)</f>
        <v>0</v>
      </c>
      <c r="L33" s="45"/>
      <c r="M33" s="44" t="n">
        <f aca="false">K33-L33</f>
        <v>0</v>
      </c>
      <c r="N33" s="46"/>
      <c r="O33" s="47"/>
      <c r="P33" s="12"/>
      <c r="Q33" s="41"/>
      <c r="R33" s="42"/>
      <c r="S33" s="43"/>
      <c r="T33" s="48" t="n">
        <f aca="false">S33*90/100</f>
        <v>0</v>
      </c>
      <c r="U33" s="45"/>
      <c r="V33" s="48" t="n">
        <f aca="false">T33-U33</f>
        <v>0</v>
      </c>
      <c r="W33" s="46"/>
      <c r="X33" s="47"/>
    </row>
    <row r="34" customFormat="false" ht="14.25" hidden="false" customHeight="true" outlineLevel="0" collapsed="false">
      <c r="A34" s="92" t="s">
        <v>27</v>
      </c>
      <c r="B34" s="92"/>
      <c r="C34" s="92"/>
      <c r="D34" s="1"/>
      <c r="E34" s="1"/>
      <c r="F34" s="8"/>
      <c r="G34" s="8"/>
      <c r="H34" s="41"/>
      <c r="I34" s="42"/>
      <c r="J34" s="43"/>
      <c r="K34" s="90" t="n">
        <f aca="false">SUM(J34*90/100)</f>
        <v>0</v>
      </c>
      <c r="L34" s="45"/>
      <c r="M34" s="44" t="n">
        <f aca="false">K34-L34</f>
        <v>0</v>
      </c>
      <c r="N34" s="46"/>
      <c r="O34" s="47"/>
      <c r="P34" s="12"/>
      <c r="Q34" s="41"/>
      <c r="R34" s="42"/>
      <c r="S34" s="43"/>
      <c r="T34" s="48" t="n">
        <f aca="false">S34*90/100</f>
        <v>0</v>
      </c>
      <c r="U34" s="45"/>
      <c r="V34" s="48" t="n">
        <f aca="false">T34-U34</f>
        <v>0</v>
      </c>
      <c r="W34" s="46"/>
      <c r="X34" s="47"/>
    </row>
    <row r="35" customFormat="false" ht="18" hidden="false" customHeight="true" outlineLevel="0" collapsed="false">
      <c r="A35" s="93"/>
      <c r="B35" s="93"/>
      <c r="C35" s="93"/>
      <c r="D35" s="1"/>
      <c r="E35" s="1"/>
      <c r="F35" s="8"/>
      <c r="G35" s="8"/>
      <c r="H35" s="41"/>
      <c r="I35" s="42"/>
      <c r="J35" s="43"/>
      <c r="K35" s="90" t="n">
        <f aca="false">SUM(J35*90/100)</f>
        <v>0</v>
      </c>
      <c r="L35" s="45"/>
      <c r="M35" s="44" t="n">
        <f aca="false">K35-L35</f>
        <v>0</v>
      </c>
      <c r="N35" s="46"/>
      <c r="O35" s="47"/>
      <c r="P35" s="12"/>
      <c r="Q35" s="41"/>
      <c r="R35" s="42"/>
      <c r="S35" s="43"/>
      <c r="T35" s="48" t="n">
        <f aca="false">S35*90/100</f>
        <v>0</v>
      </c>
      <c r="U35" s="45"/>
      <c r="V35" s="48" t="n">
        <f aca="false">T35-U35</f>
        <v>0</v>
      </c>
      <c r="W35" s="46"/>
      <c r="X35" s="47"/>
    </row>
    <row r="36" customFormat="false" ht="24" hidden="false" customHeight="true" outlineLevel="0" collapsed="false">
      <c r="A36" s="92" t="s">
        <v>28</v>
      </c>
      <c r="B36" s="92"/>
      <c r="C36" s="94" t="n">
        <v>8361</v>
      </c>
      <c r="D36" s="1"/>
      <c r="E36" s="1"/>
      <c r="F36" s="8"/>
      <c r="G36" s="8"/>
      <c r="H36" s="70"/>
      <c r="I36" s="71"/>
      <c r="J36" s="72" t="n">
        <f aca="false">SUM(J26:J35)</f>
        <v>0</v>
      </c>
      <c r="K36" s="95" t="n">
        <f aca="false">SUM(J36*90/100)</f>
        <v>0</v>
      </c>
      <c r="L36" s="72" t="n">
        <f aca="false">SUM(L26:L35)</f>
        <v>0</v>
      </c>
      <c r="M36" s="74" t="n">
        <f aca="false">K36-L36</f>
        <v>0</v>
      </c>
      <c r="N36" s="75"/>
      <c r="O36" s="76"/>
      <c r="P36" s="12"/>
      <c r="Q36" s="70"/>
      <c r="R36" s="75"/>
      <c r="S36" s="72" t="n">
        <f aca="false">SUM(S26:S35)</f>
        <v>1300</v>
      </c>
      <c r="T36" s="77" t="n">
        <f aca="false">SUM(T26:T35)</f>
        <v>1170</v>
      </c>
      <c r="U36" s="72" t="n">
        <f aca="false">SUM(U26:U35)</f>
        <v>50</v>
      </c>
      <c r="V36" s="78" t="n">
        <f aca="false">T36-U36</f>
        <v>1120</v>
      </c>
      <c r="W36" s="75"/>
      <c r="X36" s="76"/>
    </row>
    <row r="37" customFormat="false" ht="7.5" hidden="false" customHeight="true" outlineLevel="0" collapsed="false">
      <c r="A37" s="1"/>
      <c r="B37" s="1"/>
      <c r="C37" s="8"/>
      <c r="D37" s="1"/>
      <c r="E37" s="1"/>
      <c r="F37" s="8"/>
      <c r="G37" s="8"/>
      <c r="H37" s="79"/>
      <c r="I37" s="96"/>
      <c r="J37" s="79"/>
      <c r="K37" s="97"/>
      <c r="L37" s="8"/>
      <c r="M37" s="79"/>
      <c r="N37" s="79"/>
      <c r="O37" s="8"/>
      <c r="P37" s="8"/>
      <c r="Q37" s="1"/>
      <c r="R37" s="1"/>
      <c r="S37" s="1"/>
      <c r="T37" s="1"/>
      <c r="U37" s="1"/>
      <c r="V37" s="1"/>
      <c r="W37" s="1"/>
      <c r="X37" s="1"/>
    </row>
    <row r="38" customFormat="false" ht="1.5" hidden="false" customHeight="true" outlineLevel="0" collapsed="false">
      <c r="A38" s="1"/>
      <c r="B38" s="1"/>
      <c r="C38" s="8"/>
      <c r="D38" s="1"/>
      <c r="E38" s="1"/>
      <c r="F38" s="8"/>
      <c r="G38" s="8"/>
      <c r="H38" s="79"/>
      <c r="I38" s="96"/>
      <c r="J38" s="79"/>
      <c r="K38" s="97"/>
      <c r="L38" s="8"/>
      <c r="M38" s="79"/>
      <c r="N38" s="79"/>
      <c r="O38" s="8"/>
      <c r="P38" s="8"/>
      <c r="Q38" s="1"/>
      <c r="R38" s="1"/>
      <c r="S38" s="1"/>
      <c r="T38" s="93"/>
      <c r="U38" s="93"/>
      <c r="V38" s="1"/>
      <c r="W38" s="1"/>
      <c r="X38" s="1"/>
    </row>
    <row r="39" customFormat="false" ht="24" hidden="false" customHeight="true" outlineLevel="0" collapsed="false">
      <c r="A39" s="98" t="s">
        <v>29</v>
      </c>
      <c r="B39" s="98"/>
      <c r="C39" s="99" t="n">
        <f aca="false">SUM(C36+D59-E59+G59-H59+K59-L59)</f>
        <v>7501</v>
      </c>
      <c r="D39" s="100" t="s">
        <v>30</v>
      </c>
      <c r="E39" s="101" t="s">
        <v>31</v>
      </c>
      <c r="F39" s="102" t="s">
        <v>32</v>
      </c>
      <c r="G39" s="101" t="s">
        <v>30</v>
      </c>
      <c r="H39" s="101" t="s">
        <v>33</v>
      </c>
      <c r="I39" s="103" t="s">
        <v>32</v>
      </c>
      <c r="J39" s="104"/>
      <c r="K39" s="101" t="s">
        <v>30</v>
      </c>
      <c r="L39" s="101" t="s">
        <v>33</v>
      </c>
      <c r="M39" s="105" t="s">
        <v>32</v>
      </c>
      <c r="N39" s="106"/>
      <c r="O39" s="1"/>
      <c r="P39" s="8"/>
      <c r="Q39" s="1"/>
      <c r="R39" s="1"/>
      <c r="S39" s="93"/>
      <c r="T39" s="93"/>
      <c r="U39" s="93"/>
      <c r="V39" s="1"/>
      <c r="W39" s="1"/>
      <c r="X39" s="1"/>
    </row>
    <row r="40" customFormat="false" ht="15.75" hidden="false" customHeight="true" outlineLevel="0" collapsed="false">
      <c r="A40" s="98"/>
      <c r="B40" s="98"/>
      <c r="C40" s="99"/>
      <c r="D40" s="101" t="n">
        <v>1520</v>
      </c>
      <c r="E40" s="101"/>
      <c r="F40" s="107" t="s">
        <v>220</v>
      </c>
      <c r="G40" s="101"/>
      <c r="H40" s="108"/>
      <c r="I40" s="100"/>
      <c r="J40" s="109"/>
      <c r="K40" s="110"/>
      <c r="L40" s="101"/>
      <c r="M40" s="100"/>
      <c r="N40" s="100"/>
      <c r="O40" s="1"/>
      <c r="P40" s="8"/>
      <c r="Q40" s="1"/>
      <c r="R40" s="1"/>
      <c r="S40" s="93"/>
      <c r="T40" s="93"/>
      <c r="U40" s="1"/>
      <c r="V40" s="1"/>
      <c r="W40" s="1"/>
      <c r="X40" s="1"/>
    </row>
    <row r="41" customFormat="false" ht="15.75" hidden="false" customHeight="true" outlineLevel="0" collapsed="false">
      <c r="A41" s="98"/>
      <c r="B41" s="98"/>
      <c r="C41" s="99"/>
      <c r="D41" s="101"/>
      <c r="E41" s="101" t="n">
        <v>850</v>
      </c>
      <c r="F41" s="107" t="s">
        <v>228</v>
      </c>
      <c r="G41" s="101"/>
      <c r="H41" s="108"/>
      <c r="I41" s="100"/>
      <c r="J41" s="109"/>
      <c r="K41" s="110"/>
      <c r="L41" s="101"/>
      <c r="M41" s="100"/>
      <c r="N41" s="100"/>
      <c r="O41" s="1"/>
      <c r="P41" s="8"/>
      <c r="Q41" s="1"/>
      <c r="R41" s="1"/>
      <c r="S41" s="1"/>
      <c r="T41" s="1"/>
      <c r="U41" s="1"/>
      <c r="V41" s="1"/>
      <c r="W41" s="1"/>
      <c r="X41" s="1"/>
    </row>
    <row r="42" customFormat="false" ht="15.75" hidden="false" customHeight="true" outlineLevel="0" collapsed="false">
      <c r="A42" s="98"/>
      <c r="B42" s="98"/>
      <c r="C42" s="99"/>
      <c r="D42" s="101" t="n">
        <v>25</v>
      </c>
      <c r="E42" s="101"/>
      <c r="F42" s="107" t="s">
        <v>183</v>
      </c>
      <c r="G42" s="101"/>
      <c r="H42" s="108"/>
      <c r="I42" s="100"/>
      <c r="J42" s="109"/>
      <c r="K42" s="110"/>
      <c r="L42" s="101"/>
      <c r="M42" s="100"/>
      <c r="N42" s="100"/>
      <c r="O42" s="1"/>
      <c r="P42" s="8"/>
      <c r="Q42" s="1"/>
      <c r="R42" s="1"/>
      <c r="S42" s="111" t="s">
        <v>34</v>
      </c>
      <c r="T42" s="111" t="s">
        <v>35</v>
      </c>
      <c r="U42" s="112" t="n">
        <f aca="false">SUM(L21+U21+L36+U36)</f>
        <v>235</v>
      </c>
      <c r="V42" s="111"/>
      <c r="W42" s="111"/>
      <c r="X42" s="111"/>
    </row>
    <row r="43" customFormat="false" ht="15.75" hidden="false" customHeight="true" outlineLevel="0" collapsed="false">
      <c r="A43" s="98"/>
      <c r="B43" s="98"/>
      <c r="C43" s="99"/>
      <c r="D43" s="101" t="n">
        <v>1730</v>
      </c>
      <c r="E43" s="101"/>
      <c r="F43" s="107" t="s">
        <v>229</v>
      </c>
      <c r="G43" s="101"/>
      <c r="H43" s="108"/>
      <c r="I43" s="100"/>
      <c r="J43" s="109"/>
      <c r="K43" s="110"/>
      <c r="L43" s="101"/>
      <c r="M43" s="100"/>
      <c r="N43" s="100"/>
      <c r="O43" s="1"/>
      <c r="P43" s="8"/>
      <c r="Q43" s="1"/>
      <c r="R43" s="1"/>
      <c r="S43" s="111" t="s">
        <v>36</v>
      </c>
      <c r="T43" s="111" t="s">
        <v>35</v>
      </c>
      <c r="U43" s="111"/>
      <c r="V43" s="111"/>
      <c r="W43" s="111"/>
      <c r="X43" s="111"/>
    </row>
    <row r="44" customFormat="false" ht="15.75" hidden="false" customHeight="true" outlineLevel="0" collapsed="false">
      <c r="A44" s="98"/>
      <c r="B44" s="98"/>
      <c r="C44" s="99"/>
      <c r="D44" s="101"/>
      <c r="E44" s="101" t="n">
        <v>610</v>
      </c>
      <c r="F44" s="107" t="s">
        <v>230</v>
      </c>
      <c r="G44" s="101"/>
      <c r="H44" s="108"/>
      <c r="I44" s="100"/>
      <c r="J44" s="109"/>
      <c r="K44" s="110"/>
      <c r="M44" s="100"/>
      <c r="N44" s="100"/>
      <c r="O44" s="1"/>
      <c r="P44" s="8"/>
      <c r="Q44" s="1"/>
      <c r="R44" s="1"/>
      <c r="S44" s="111"/>
      <c r="T44" s="111"/>
      <c r="U44" s="111"/>
      <c r="V44" s="111"/>
      <c r="W44" s="111"/>
      <c r="X44" s="111"/>
    </row>
    <row r="45" customFormat="false" ht="15.75" hidden="false" customHeight="true" outlineLevel="0" collapsed="false">
      <c r="A45" s="98"/>
      <c r="B45" s="98"/>
      <c r="C45" s="99"/>
      <c r="D45" s="101"/>
      <c r="E45" s="101" t="n">
        <v>220</v>
      </c>
      <c r="F45" s="107" t="s">
        <v>103</v>
      </c>
      <c r="G45" s="101"/>
      <c r="H45" s="108"/>
      <c r="I45" s="113"/>
      <c r="J45" s="114"/>
      <c r="K45" s="110"/>
      <c r="L45" s="101"/>
      <c r="M45" s="100"/>
      <c r="N45" s="100"/>
      <c r="O45" s="1"/>
      <c r="P45" s="8"/>
      <c r="Q45" s="1"/>
      <c r="R45" s="1"/>
      <c r="S45" s="111"/>
      <c r="T45" s="111"/>
      <c r="U45" s="111"/>
      <c r="V45" s="111"/>
      <c r="W45" s="111"/>
      <c r="X45" s="111"/>
    </row>
    <row r="46" customFormat="false" ht="15.75" hidden="false" customHeight="true" outlineLevel="0" collapsed="false">
      <c r="A46" s="98"/>
      <c r="B46" s="98"/>
      <c r="C46" s="99"/>
      <c r="D46" s="101"/>
      <c r="E46" s="101" t="n">
        <v>1030</v>
      </c>
      <c r="F46" s="107" t="s">
        <v>101</v>
      </c>
      <c r="G46" s="101"/>
      <c r="H46" s="108"/>
      <c r="I46" s="100"/>
      <c r="J46" s="109"/>
      <c r="K46" s="110"/>
      <c r="L46" s="101"/>
      <c r="M46" s="100"/>
      <c r="N46" s="100"/>
      <c r="O46" s="1"/>
      <c r="P46" s="8"/>
      <c r="Q46" s="1"/>
      <c r="R46" s="1"/>
      <c r="S46" s="111"/>
      <c r="T46" s="111"/>
      <c r="U46" s="111"/>
      <c r="V46" s="111"/>
      <c r="W46" s="111"/>
      <c r="X46" s="111"/>
    </row>
    <row r="47" customFormat="false" ht="15.75" hidden="false" customHeight="true" outlineLevel="0" collapsed="false">
      <c r="A47" s="98"/>
      <c r="B47" s="98"/>
      <c r="C47" s="99"/>
      <c r="D47" s="101"/>
      <c r="E47" s="101" t="n">
        <v>265</v>
      </c>
      <c r="F47" s="107" t="s">
        <v>226</v>
      </c>
      <c r="G47" s="101"/>
      <c r="H47" s="108"/>
      <c r="I47" s="100"/>
      <c r="J47" s="109"/>
      <c r="K47" s="110"/>
      <c r="L47" s="101"/>
      <c r="M47" s="115"/>
      <c r="N47" s="115"/>
      <c r="O47" s="1"/>
      <c r="P47" s="8"/>
      <c r="Q47" s="1"/>
      <c r="R47" s="1"/>
      <c r="S47" s="111" t="s">
        <v>37</v>
      </c>
      <c r="T47" s="111"/>
      <c r="U47" s="111"/>
      <c r="V47" s="111"/>
      <c r="W47" s="111" t="s">
        <v>38</v>
      </c>
      <c r="X47" s="111"/>
    </row>
    <row r="48" customFormat="false" ht="22.5" hidden="false" customHeight="true" outlineLevel="0" collapsed="false">
      <c r="A48" s="98"/>
      <c r="B48" s="98"/>
      <c r="C48" s="99"/>
      <c r="D48" s="101"/>
      <c r="E48" s="101" t="n">
        <v>1750</v>
      </c>
      <c r="F48" s="107" t="s">
        <v>219</v>
      </c>
      <c r="G48" s="101"/>
      <c r="H48" s="108"/>
      <c r="I48" s="116"/>
      <c r="J48" s="114"/>
      <c r="K48" s="110"/>
      <c r="L48" s="108"/>
      <c r="M48" s="100"/>
      <c r="N48" s="100"/>
      <c r="O48" s="1"/>
      <c r="P48" s="8"/>
      <c r="Q48" s="1"/>
      <c r="R48" s="1"/>
      <c r="S48" s="1"/>
      <c r="T48" s="1"/>
      <c r="U48" s="18" t="s">
        <v>39</v>
      </c>
      <c r="V48" s="93"/>
      <c r="W48" s="93"/>
      <c r="X48" s="1"/>
    </row>
    <row r="49" customFormat="false" ht="15.75" hidden="false" customHeight="true" outlineLevel="0" collapsed="false">
      <c r="A49" s="98"/>
      <c r="B49" s="98"/>
      <c r="C49" s="99"/>
      <c r="D49" s="141" t="n">
        <v>490</v>
      </c>
      <c r="E49" s="101"/>
      <c r="F49" s="142" t="s">
        <v>231</v>
      </c>
      <c r="G49" s="101"/>
      <c r="H49" s="108"/>
      <c r="I49" s="100"/>
      <c r="J49" s="100"/>
      <c r="K49" s="110"/>
      <c r="L49" s="108"/>
      <c r="M49" s="100"/>
      <c r="N49" s="100"/>
      <c r="O49" s="1"/>
      <c r="P49" s="8"/>
      <c r="Q49" s="1"/>
      <c r="R49" s="1"/>
      <c r="S49" s="1"/>
      <c r="T49" s="1"/>
      <c r="U49" s="93"/>
      <c r="V49" s="93"/>
      <c r="W49" s="93"/>
      <c r="X49" s="1"/>
    </row>
    <row r="50" customFormat="false" ht="16.5" hidden="false" customHeight="true" outlineLevel="0" collapsed="false">
      <c r="A50" s="98"/>
      <c r="B50" s="98"/>
      <c r="C50" s="99"/>
      <c r="D50" s="141" t="n">
        <v>100</v>
      </c>
      <c r="E50" s="101"/>
      <c r="F50" s="142" t="s">
        <v>232</v>
      </c>
      <c r="G50" s="101"/>
      <c r="H50" s="108"/>
      <c r="I50" s="100"/>
      <c r="J50" s="100"/>
      <c r="K50" s="110"/>
      <c r="L50" s="101"/>
      <c r="M50" s="113"/>
      <c r="N50" s="113"/>
      <c r="O50" s="1"/>
      <c r="P50" s="8"/>
      <c r="Q50" s="1"/>
      <c r="R50" s="1"/>
      <c r="S50" s="1"/>
      <c r="T50" s="1"/>
      <c r="U50" s="93" t="s">
        <v>40</v>
      </c>
      <c r="V50" s="93"/>
      <c r="W50" s="93"/>
      <c r="X50" s="1"/>
    </row>
    <row r="51" customFormat="false" ht="22.5" hidden="false" customHeight="true" outlineLevel="0" collapsed="false">
      <c r="A51" s="98"/>
      <c r="B51" s="98"/>
      <c r="C51" s="99"/>
      <c r="D51" s="101"/>
      <c r="E51" s="101"/>
      <c r="F51" s="117"/>
      <c r="G51" s="101"/>
      <c r="H51" s="108"/>
      <c r="I51" s="118"/>
      <c r="J51" s="119"/>
      <c r="K51" s="110"/>
      <c r="L51" s="101"/>
      <c r="M51" s="118"/>
      <c r="N51" s="120"/>
      <c r="O51" s="1"/>
      <c r="P51" s="8"/>
      <c r="Q51" s="1"/>
      <c r="R51" s="1"/>
      <c r="S51" s="1"/>
      <c r="T51" s="1"/>
      <c r="U51" s="1"/>
      <c r="V51" s="1"/>
      <c r="W51" s="1"/>
      <c r="X51" s="1"/>
    </row>
    <row r="52" customFormat="false" ht="15.75" hidden="false" customHeight="true" outlineLevel="0" collapsed="false">
      <c r="A52" s="98"/>
      <c r="B52" s="98"/>
      <c r="C52" s="99"/>
      <c r="D52" s="101"/>
      <c r="E52" s="101"/>
      <c r="F52" s="117"/>
      <c r="G52" s="101"/>
      <c r="H52" s="108"/>
      <c r="I52" s="113"/>
      <c r="J52" s="121"/>
      <c r="K52" s="110"/>
      <c r="L52" s="101"/>
      <c r="M52" s="118"/>
      <c r="N52" s="120"/>
      <c r="O52" s="1"/>
      <c r="P52" s="8"/>
      <c r="Q52" s="1"/>
      <c r="R52" s="1"/>
      <c r="S52" s="1"/>
      <c r="T52" s="1"/>
      <c r="U52" s="1"/>
      <c r="V52" s="1"/>
      <c r="W52" s="1"/>
      <c r="X52" s="1"/>
    </row>
    <row r="53" customFormat="false" ht="15.75" hidden="false" customHeight="true" outlineLevel="0" collapsed="false">
      <c r="A53" s="98"/>
      <c r="B53" s="98"/>
      <c r="C53" s="99"/>
      <c r="D53" s="101"/>
      <c r="E53" s="101"/>
      <c r="F53" s="117"/>
      <c r="G53" s="101"/>
      <c r="H53" s="108"/>
      <c r="I53" s="100"/>
      <c r="J53" s="122"/>
      <c r="K53" s="110"/>
      <c r="L53" s="101"/>
      <c r="M53" s="118"/>
      <c r="N53" s="120"/>
      <c r="O53" s="1"/>
      <c r="P53" s="8"/>
      <c r="Q53" s="1"/>
      <c r="R53" s="1"/>
      <c r="S53" s="1"/>
      <c r="T53" s="1"/>
      <c r="U53" s="1"/>
      <c r="V53" s="1"/>
      <c r="W53" s="1"/>
      <c r="X53" s="1"/>
    </row>
    <row r="54" customFormat="false" ht="15.75" hidden="false" customHeight="true" outlineLevel="0" collapsed="false">
      <c r="A54" s="98"/>
      <c r="B54" s="98"/>
      <c r="C54" s="99"/>
      <c r="D54" s="101"/>
      <c r="E54" s="101"/>
      <c r="F54" s="117"/>
      <c r="G54" s="101"/>
      <c r="H54" s="101"/>
      <c r="I54" s="113"/>
      <c r="J54" s="121"/>
      <c r="K54" s="101"/>
      <c r="L54" s="101"/>
      <c r="M54" s="118"/>
      <c r="N54" s="120"/>
      <c r="O54" s="1"/>
      <c r="P54" s="8"/>
      <c r="Q54" s="1"/>
      <c r="R54" s="1"/>
      <c r="S54" s="1"/>
      <c r="T54" s="1"/>
      <c r="U54" s="1"/>
      <c r="V54" s="1"/>
      <c r="W54" s="1"/>
      <c r="X54" s="1"/>
    </row>
    <row r="55" customFormat="false" ht="15.75" hidden="false" customHeight="true" outlineLevel="0" collapsed="false">
      <c r="A55" s="98"/>
      <c r="B55" s="98"/>
      <c r="C55" s="99"/>
      <c r="D55" s="101"/>
      <c r="E55" s="101"/>
      <c r="F55" s="117"/>
      <c r="G55" s="101"/>
      <c r="H55" s="101"/>
      <c r="I55" s="100"/>
      <c r="J55" s="122"/>
      <c r="K55" s="101"/>
      <c r="L55" s="101"/>
      <c r="M55" s="118"/>
      <c r="N55" s="120"/>
      <c r="O55" s="1"/>
      <c r="P55" s="8"/>
      <c r="Q55" s="1"/>
      <c r="R55" s="1"/>
      <c r="S55" s="1"/>
      <c r="T55" s="1"/>
      <c r="U55" s="1"/>
      <c r="V55" s="1"/>
      <c r="W55" s="1"/>
      <c r="X55" s="1"/>
    </row>
    <row r="56" customFormat="false" ht="15.75" hidden="false" customHeight="true" outlineLevel="0" collapsed="false">
      <c r="A56" s="98"/>
      <c r="B56" s="98"/>
      <c r="C56" s="99"/>
      <c r="D56" s="101"/>
      <c r="E56" s="101"/>
      <c r="F56" s="117"/>
      <c r="G56" s="101"/>
      <c r="H56" s="101"/>
      <c r="I56" s="100"/>
      <c r="J56" s="122"/>
      <c r="K56" s="101"/>
      <c r="L56" s="101"/>
      <c r="M56" s="118"/>
      <c r="N56" s="120"/>
      <c r="O56" s="1"/>
      <c r="P56" s="8"/>
      <c r="Q56" s="1"/>
      <c r="R56" s="1"/>
      <c r="S56" s="1"/>
      <c r="T56" s="1"/>
      <c r="U56" s="1"/>
      <c r="V56" s="1"/>
      <c r="W56" s="1"/>
      <c r="X56" s="1"/>
    </row>
    <row r="57" customFormat="false" ht="15.75" hidden="false" customHeight="true" outlineLevel="0" collapsed="false">
      <c r="A57" s="98"/>
      <c r="B57" s="98"/>
      <c r="C57" s="99"/>
      <c r="D57" s="101"/>
      <c r="E57" s="101"/>
      <c r="F57" s="117"/>
      <c r="G57" s="101"/>
      <c r="H57" s="101"/>
      <c r="I57" s="100"/>
      <c r="J57" s="122"/>
      <c r="K57" s="101"/>
      <c r="L57" s="101"/>
      <c r="M57" s="118"/>
      <c r="N57" s="120"/>
      <c r="O57" s="1"/>
      <c r="P57" s="8"/>
      <c r="Q57" s="1"/>
      <c r="R57" s="1"/>
      <c r="S57" s="1"/>
      <c r="T57" s="1"/>
      <c r="U57" s="1"/>
      <c r="V57" s="1"/>
      <c r="W57" s="1"/>
      <c r="X57" s="1"/>
    </row>
    <row r="58" customFormat="false" ht="15.75" hidden="false" customHeight="true" outlineLevel="0" collapsed="false">
      <c r="A58" s="98"/>
      <c r="B58" s="98"/>
      <c r="C58" s="99"/>
      <c r="D58" s="101"/>
      <c r="E58" s="101"/>
      <c r="F58" s="117"/>
      <c r="G58" s="101"/>
      <c r="H58" s="101"/>
      <c r="I58" s="100"/>
      <c r="J58" s="122"/>
      <c r="K58" s="101"/>
      <c r="L58" s="101"/>
      <c r="M58" s="118"/>
      <c r="N58" s="120"/>
      <c r="O58" s="1"/>
      <c r="P58" s="8"/>
      <c r="Q58" s="1"/>
      <c r="R58" s="1"/>
      <c r="S58" s="1"/>
      <c r="T58" s="1"/>
      <c r="U58" s="1"/>
      <c r="V58" s="1"/>
      <c r="W58" s="1"/>
      <c r="X58" s="1"/>
    </row>
    <row r="59" customFormat="false" ht="15.75" hidden="false" customHeight="true" outlineLevel="0" collapsed="false">
      <c r="A59" s="98"/>
      <c r="B59" s="98"/>
      <c r="C59" s="99"/>
      <c r="D59" s="123" t="n">
        <f aca="false">SUM(D40:D58)</f>
        <v>3865</v>
      </c>
      <c r="E59" s="123" t="n">
        <f aca="false">SUM(E40:E58)</f>
        <v>4725</v>
      </c>
      <c r="F59" s="117"/>
      <c r="G59" s="123" t="n">
        <f aca="false">SUM(G40:G58)</f>
        <v>0</v>
      </c>
      <c r="H59" s="123" t="n">
        <f aca="false">SUM(H40:H58)</f>
        <v>0</v>
      </c>
      <c r="I59" s="100"/>
      <c r="J59" s="100"/>
      <c r="K59" s="101" t="n">
        <f aca="false">SUM(K40:K58)</f>
        <v>0</v>
      </c>
      <c r="L59" s="101" t="n">
        <f aca="false">SUM(L40:L58)</f>
        <v>0</v>
      </c>
      <c r="M59" s="100"/>
      <c r="N59" s="100"/>
      <c r="O59" s="1"/>
      <c r="P59" s="8"/>
      <c r="Q59" s="1"/>
      <c r="R59" s="1"/>
      <c r="S59" s="1"/>
      <c r="T59" s="1"/>
      <c r="U59" s="1"/>
      <c r="V59" s="1"/>
      <c r="W59" s="1"/>
      <c r="X59" s="1"/>
    </row>
    <row r="60" customFormat="false" ht="15.75" hidden="false" customHeight="true" outlineLevel="0" collapsed="false">
      <c r="A60" s="1"/>
      <c r="B60" s="1"/>
      <c r="C60" s="1"/>
      <c r="D60" s="1"/>
      <c r="E60" s="1"/>
      <c r="F60" s="8"/>
      <c r="G60" s="8"/>
      <c r="H60" s="1"/>
      <c r="I60" s="2"/>
      <c r="J60" s="1"/>
      <c r="K60" s="83"/>
      <c r="L60" s="83"/>
      <c r="M60" s="124"/>
      <c r="N60" s="124"/>
      <c r="O60" s="1"/>
      <c r="P60" s="8"/>
      <c r="Q60" s="1"/>
      <c r="R60" s="1"/>
      <c r="S60" s="1"/>
      <c r="T60" s="1"/>
      <c r="U60" s="1"/>
      <c r="V60" s="1"/>
      <c r="W60" s="1"/>
      <c r="X60" s="1"/>
    </row>
    <row r="61" customFormat="false" ht="15.75" hidden="false" customHeight="true" outlineLevel="0" collapsed="false">
      <c r="A61" s="1"/>
      <c r="B61" s="1"/>
      <c r="C61" s="1"/>
      <c r="D61" s="1"/>
      <c r="E61" s="1"/>
      <c r="F61" s="8"/>
      <c r="G61" s="8"/>
      <c r="H61" s="1"/>
      <c r="I61" s="2"/>
      <c r="J61" s="1"/>
      <c r="K61" s="83"/>
      <c r="L61" s="83"/>
      <c r="M61" s="124"/>
      <c r="N61" s="124"/>
      <c r="O61" s="1"/>
      <c r="P61" s="8"/>
      <c r="Q61" s="1"/>
      <c r="R61" s="1"/>
      <c r="S61" s="1"/>
      <c r="T61" s="1"/>
      <c r="U61" s="1"/>
      <c r="V61" s="1"/>
      <c r="W61" s="1"/>
      <c r="X61" s="1"/>
    </row>
    <row r="62" customFormat="false" ht="15.75" hidden="false" customHeight="true" outlineLevel="0" collapsed="false">
      <c r="A62" s="1"/>
      <c r="B62" s="1"/>
      <c r="C62" s="1"/>
      <c r="D62" s="1"/>
      <c r="E62" s="1"/>
      <c r="F62" s="8"/>
      <c r="G62" s="8"/>
      <c r="H62" s="1"/>
      <c r="I62" s="2"/>
      <c r="J62" s="1"/>
      <c r="K62" s="83"/>
      <c r="L62" s="83"/>
      <c r="M62" s="124"/>
      <c r="N62" s="124"/>
      <c r="O62" s="1"/>
      <c r="P62" s="8"/>
      <c r="Q62" s="1"/>
      <c r="R62" s="1"/>
      <c r="S62" s="1"/>
      <c r="T62" s="1"/>
      <c r="U62" s="1"/>
      <c r="V62" s="1"/>
      <c r="W62" s="1"/>
      <c r="X62" s="1"/>
    </row>
    <row r="63" customFormat="false" ht="15.75" hidden="false" customHeight="true" outlineLevel="0" collapsed="false">
      <c r="A63" s="1"/>
      <c r="B63" s="1"/>
      <c r="C63" s="1"/>
      <c r="D63" s="1"/>
      <c r="E63" s="1"/>
      <c r="F63" s="8"/>
      <c r="G63" s="8"/>
      <c r="H63" s="1"/>
      <c r="I63" s="2"/>
      <c r="J63" s="1"/>
      <c r="K63" s="125"/>
      <c r="L63" s="125"/>
      <c r="M63" s="124"/>
      <c r="N63" s="124"/>
      <c r="O63" s="1"/>
      <c r="P63" s="8"/>
      <c r="Q63" s="1"/>
      <c r="R63" s="1"/>
      <c r="S63" s="1"/>
      <c r="T63" s="1"/>
      <c r="U63" s="1"/>
      <c r="V63" s="1"/>
      <c r="W63" s="1"/>
      <c r="X63" s="1"/>
    </row>
    <row r="64" customFormat="false" ht="15.75" hidden="false" customHeight="true" outlineLevel="0" collapsed="false">
      <c r="A64" s="1"/>
      <c r="B64" s="1"/>
      <c r="C64" s="1"/>
      <c r="D64" s="1"/>
      <c r="E64" s="1"/>
      <c r="F64" s="8"/>
      <c r="G64" s="8"/>
      <c r="H64" s="1"/>
      <c r="I64" s="2"/>
      <c r="J64" s="1"/>
      <c r="K64" s="2"/>
      <c r="L64" s="1"/>
      <c r="M64" s="1"/>
      <c r="N64" s="1"/>
      <c r="O64" s="1"/>
      <c r="P64" s="8"/>
      <c r="Q64" s="1"/>
      <c r="R64" s="1"/>
      <c r="S64" s="1"/>
      <c r="T64" s="1"/>
      <c r="U64" s="1"/>
      <c r="V64" s="1"/>
      <c r="W64" s="1"/>
      <c r="X64" s="1"/>
    </row>
    <row r="65" customFormat="false" ht="15.75" hidden="false" customHeight="true" outlineLevel="0" collapsed="false">
      <c r="A65" s="1"/>
      <c r="B65" s="1"/>
      <c r="C65" s="1"/>
      <c r="D65" s="1"/>
      <c r="E65" s="1"/>
      <c r="F65" s="8"/>
      <c r="G65" s="8"/>
      <c r="H65" s="1"/>
      <c r="I65" s="2"/>
      <c r="J65" s="1"/>
      <c r="K65" s="2"/>
      <c r="L65" s="1"/>
      <c r="M65" s="1"/>
      <c r="N65" s="1"/>
      <c r="O65" s="1"/>
      <c r="P65" s="8"/>
      <c r="Q65" s="1"/>
      <c r="R65" s="1"/>
      <c r="S65" s="1"/>
      <c r="T65" s="1"/>
      <c r="U65" s="1"/>
      <c r="V65" s="1"/>
      <c r="W65" s="1"/>
      <c r="X65" s="1"/>
    </row>
    <row r="66" customFormat="false" ht="15.75" hidden="false" customHeight="true" outlineLevel="0" collapsed="false">
      <c r="A66" s="1"/>
      <c r="B66" s="1"/>
      <c r="C66" s="1"/>
      <c r="D66" s="1"/>
      <c r="E66" s="1"/>
      <c r="F66" s="8"/>
      <c r="G66" s="8"/>
      <c r="H66" s="1"/>
      <c r="I66" s="2"/>
      <c r="J66" s="1"/>
      <c r="K66" s="2"/>
      <c r="L66" s="1"/>
      <c r="M66" s="1"/>
      <c r="N66" s="1"/>
      <c r="O66" s="1"/>
      <c r="P66" s="8"/>
      <c r="Q66" s="1"/>
      <c r="R66" s="1"/>
      <c r="S66" s="1"/>
      <c r="T66" s="1"/>
      <c r="U66" s="1"/>
      <c r="V66" s="1"/>
      <c r="W66" s="1"/>
      <c r="X66" s="1"/>
    </row>
    <row r="67" customFormat="false" ht="15.75" hidden="false" customHeight="true" outlineLevel="0" collapsed="false">
      <c r="A67" s="1"/>
      <c r="B67" s="1"/>
      <c r="C67" s="1"/>
      <c r="D67" s="1"/>
      <c r="E67" s="1"/>
      <c r="F67" s="8"/>
      <c r="G67" s="8"/>
      <c r="H67" s="1"/>
      <c r="I67" s="2"/>
      <c r="J67" s="1"/>
      <c r="K67" s="2"/>
      <c r="L67" s="1"/>
      <c r="M67" s="1"/>
      <c r="N67" s="1"/>
      <c r="O67" s="1"/>
      <c r="P67" s="8"/>
      <c r="Q67" s="1"/>
      <c r="R67" s="1"/>
      <c r="S67" s="1"/>
      <c r="T67" s="1"/>
      <c r="U67" s="1"/>
      <c r="V67" s="1"/>
      <c r="W67" s="1"/>
      <c r="X67" s="1"/>
    </row>
    <row r="68" customFormat="false" ht="15.75" hidden="false" customHeight="true" outlineLevel="0" collapsed="false">
      <c r="A68" s="1"/>
      <c r="B68" s="1"/>
      <c r="C68" s="1"/>
      <c r="D68" s="1"/>
      <c r="E68" s="1"/>
      <c r="F68" s="8"/>
      <c r="G68" s="8"/>
      <c r="H68" s="1"/>
      <c r="I68" s="2"/>
      <c r="J68" s="1"/>
      <c r="K68" s="2"/>
      <c r="L68" s="1"/>
      <c r="M68" s="1"/>
      <c r="N68" s="1"/>
      <c r="O68" s="1"/>
      <c r="P68" s="8"/>
      <c r="Q68" s="1"/>
      <c r="R68" s="1"/>
      <c r="S68" s="1"/>
      <c r="T68" s="1"/>
      <c r="U68" s="1"/>
      <c r="V68" s="1"/>
      <c r="W68" s="1"/>
      <c r="X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8"/>
      <c r="G69" s="8"/>
      <c r="H69" s="1"/>
      <c r="I69" s="2"/>
      <c r="J69" s="1"/>
      <c r="K69" s="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customFormat="false" ht="15.75" hidden="false" customHeight="true" outlineLevel="0" collapsed="false">
      <c r="A70" s="1"/>
      <c r="B70" s="1"/>
      <c r="C70" s="1"/>
      <c r="D70" s="1"/>
      <c r="E70" s="1"/>
      <c r="F70" s="8"/>
      <c r="G70" s="8"/>
      <c r="H70" s="1"/>
      <c r="I70" s="2"/>
      <c r="J70" s="1"/>
      <c r="K70" s="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customFormat="false" ht="15.75" hidden="false" customHeight="true" outlineLevel="0" collapsed="false">
      <c r="A71" s="1"/>
      <c r="B71" s="1"/>
      <c r="C71" s="1"/>
      <c r="D71" s="1"/>
      <c r="E71" s="1"/>
      <c r="F71" s="8"/>
      <c r="G71" s="8"/>
      <c r="H71" s="1"/>
      <c r="I71" s="2"/>
      <c r="J71" s="1"/>
      <c r="K71" s="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customFormat="false" ht="15.75" hidden="false" customHeight="true" outlineLevel="0" collapsed="false">
      <c r="A72" s="1"/>
      <c r="B72" s="1"/>
      <c r="C72" s="1"/>
      <c r="D72" s="1"/>
      <c r="E72" s="1"/>
      <c r="F72" s="8"/>
      <c r="G72" s="8"/>
      <c r="H72" s="1"/>
      <c r="I72" s="2"/>
      <c r="J72" s="1"/>
      <c r="K72" s="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customFormat="false" ht="15.75" hidden="false" customHeight="true" outlineLevel="0" collapsed="false">
      <c r="A73" s="1"/>
      <c r="B73" s="1"/>
      <c r="C73" s="1"/>
      <c r="D73" s="1"/>
      <c r="E73" s="1"/>
      <c r="F73" s="8"/>
      <c r="G73" s="8"/>
      <c r="H73" s="1"/>
      <c r="I73" s="2"/>
      <c r="J73" s="1"/>
      <c r="K73" s="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customFormat="false" ht="15.75" hidden="false" customHeight="true" outlineLevel="0" collapsed="false">
      <c r="A74" s="1"/>
      <c r="B74" s="1"/>
      <c r="C74" s="1"/>
      <c r="D74" s="1"/>
      <c r="E74" s="1"/>
      <c r="F74" s="8"/>
      <c r="G74" s="8"/>
      <c r="H74" s="1"/>
      <c r="I74" s="2"/>
      <c r="J74" s="1"/>
      <c r="K74" s="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customFormat="false" ht="15.75" hidden="false" customHeight="true" outlineLevel="0" collapsed="false">
      <c r="A75" s="1"/>
      <c r="B75" s="1"/>
      <c r="C75" s="1"/>
      <c r="D75" s="1"/>
      <c r="E75" s="1"/>
      <c r="F75" s="8"/>
      <c r="G75" s="8"/>
      <c r="H75" s="1"/>
      <c r="I75" s="2"/>
      <c r="J75" s="1"/>
      <c r="K75" s="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customFormat="false" ht="15.75" hidden="false" customHeight="true" outlineLevel="0" collapsed="false">
      <c r="A76" s="1"/>
      <c r="B76" s="1"/>
      <c r="C76" s="1"/>
      <c r="D76" s="1"/>
      <c r="E76" s="1"/>
      <c r="F76" s="8"/>
      <c r="G76" s="8"/>
      <c r="H76" s="1"/>
      <c r="I76" s="2"/>
      <c r="J76" s="1"/>
      <c r="K76" s="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2"/>
      <c r="J77" s="1"/>
      <c r="K77" s="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2"/>
      <c r="J78" s="1"/>
      <c r="K78" s="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2"/>
      <c r="J79" s="1"/>
      <c r="K79" s="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2"/>
      <c r="J80" s="1"/>
      <c r="K80" s="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2"/>
      <c r="J81" s="1"/>
      <c r="K81" s="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2"/>
      <c r="J82" s="1"/>
      <c r="K82" s="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2"/>
      <c r="J83" s="1"/>
      <c r="K83" s="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2"/>
      <c r="J84" s="1"/>
      <c r="K84" s="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2"/>
      <c r="J85" s="1"/>
      <c r="K85" s="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2"/>
      <c r="J86" s="1"/>
      <c r="K86" s="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2"/>
      <c r="J87" s="1"/>
      <c r="K87" s="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2"/>
      <c r="J88" s="1"/>
      <c r="K88" s="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2"/>
      <c r="J89" s="1"/>
      <c r="K89" s="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2"/>
      <c r="J90" s="1"/>
      <c r="K90" s="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2"/>
      <c r="J91" s="1"/>
      <c r="K91" s="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2"/>
      <c r="J92" s="1"/>
      <c r="K92" s="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2"/>
      <c r="J93" s="1"/>
      <c r="K93" s="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2"/>
      <c r="J94" s="1"/>
      <c r="K94" s="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2"/>
      <c r="J95" s="1"/>
      <c r="K95" s="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2"/>
      <c r="J96" s="1"/>
      <c r="K96" s="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2"/>
      <c r="J97" s="1"/>
      <c r="K97" s="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2"/>
      <c r="J98" s="1"/>
      <c r="K98" s="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2"/>
      <c r="J99" s="1"/>
      <c r="K99" s="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2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2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2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2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2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2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2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2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2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2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2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2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2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2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2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2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2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2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2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2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2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2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2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2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2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2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2"/>
      <c r="L252" s="1"/>
      <c r="M252" s="1"/>
      <c r="N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2"/>
      <c r="L253" s="1"/>
      <c r="M253" s="1"/>
      <c r="N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2"/>
      <c r="L254" s="1"/>
      <c r="M254" s="1"/>
      <c r="N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2"/>
      <c r="L255" s="1"/>
      <c r="M255" s="1"/>
      <c r="N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2"/>
      <c r="L256" s="1"/>
      <c r="M256" s="1"/>
      <c r="N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2"/>
      <c r="L257" s="1"/>
      <c r="M257" s="1"/>
      <c r="N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2"/>
      <c r="L258" s="1"/>
      <c r="M258" s="1"/>
      <c r="N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2"/>
      <c r="L259" s="1"/>
      <c r="M259" s="1"/>
      <c r="N259" s="1"/>
    </row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4">
    <mergeCell ref="F2:F3"/>
    <mergeCell ref="H2:J2"/>
    <mergeCell ref="L2:O2"/>
    <mergeCell ref="Q2:S2"/>
    <mergeCell ref="U2:X2"/>
    <mergeCell ref="D3:E3"/>
    <mergeCell ref="B23:D27"/>
    <mergeCell ref="H23:J23"/>
    <mergeCell ref="L23:O23"/>
    <mergeCell ref="Q23:S23"/>
    <mergeCell ref="U23:X23"/>
    <mergeCell ref="B28:D32"/>
    <mergeCell ref="A34:C34"/>
    <mergeCell ref="A36:B36"/>
    <mergeCell ref="A39:B59"/>
    <mergeCell ref="C39:C5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I49:J49"/>
    <mergeCell ref="M49:N49"/>
    <mergeCell ref="I50:J50"/>
    <mergeCell ref="I59:J59"/>
    <mergeCell ref="M59:N59"/>
    <mergeCell ref="M60:N60"/>
    <mergeCell ref="M61:N61"/>
    <mergeCell ref="M62:N62"/>
    <mergeCell ref="M63:N6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LibreOffice/7.5.9.2$Windows_X86_64 LibreOffice_project/cdeefe45c17511d326101eed8008ac4092f278a9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2023-05-10T05:29:00Z</dcterms:created>
  <dc:creator>admin</dc:creator>
  <dc:description/>
  <dc:language>en-MY</dc:language>
  <cp:lastModifiedBy/>
  <dcterms:modified xsi:type="dcterms:W3CDTF">2024-04-30T11:06:51Z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D62003B8057F40F09735433D00D846BC</vt:lpwstr>
  </property>
  <property fmtid="{D5CDD505-2E9C-101B-9397-08002B2CF9AE}" pid="3" name="KSOProductBuildVer">
    <vt:lpwstr>1033-12.2.0.16731</vt:lpwstr>
  </property>
</Properties>
</file>